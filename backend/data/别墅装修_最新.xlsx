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预算总览" sheetId="1" state="visible" r:id="rId1"/>
    <sheet name="采购清单" sheetId="2" state="visible" r:id="rId2"/>
    <sheet name="装修阶段顺序" sheetId="3" state="visible" r:id="rId3"/>
    <sheet name="楼层预算" sheetId="4" state="visible" r:id="rId4"/>
    <sheet name="品牌推荐" sheetId="5" state="visible" r:id="rId5"/>
    <sheet name="避坑与延期" sheetId="6" state="visible" r:id="rId6"/>
    <sheet name="询价对比模板" sheetId="7" state="visible" r:id="rId7"/>
    <sheet name="下拉选项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6">
    <font>
      <name val="Carlito"/>
      <sz val="11"/>
    </font>
    <font>
      <name val="Carlito"/>
      <b val="1"/>
      <color rgb="00FFFFFF"/>
      <sz val="16"/>
    </font>
    <font>
      <name val="Carlito"/>
      <i val="1"/>
      <color rgb="001F2937"/>
      <sz val="11"/>
    </font>
    <font>
      <name val="Carlito"/>
      <b val="1"/>
      <sz val="11"/>
    </font>
    <font>
      <name val="Carlito"/>
      <b val="1"/>
      <color rgb="00FFFFFF"/>
      <sz val="11"/>
    </font>
    <font>
      <name val="Carlito"/>
      <i val="1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DEBF7"/>
      </patternFill>
    </fill>
    <fill>
      <patternFill patternType="solid">
        <fgColor rgb="000F766E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107C41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0">
    <border/>
    <border/>
    <border>
      <left>
        <color rgb="00BFBFBF"/>
      </left>
      <right>
        <color rgb="00D9E1F2"/>
      </right>
      <top>
        <color rgb="00BFBFBF"/>
      </top>
      <bottom>
        <color rgb="00D9E1F2"/>
      </bottom>
    </border>
    <border>
      <left>
        <color rgb="00D9E1F2"/>
      </left>
      <right>
        <color rgb="00D9E1F2"/>
      </right>
      <top>
        <color rgb="00BFBFBF"/>
      </top>
      <bottom>
        <color rgb="00D9E1F2"/>
      </bottom>
    </border>
    <border>
      <left>
        <color rgb="00D9E1F2"/>
      </left>
      <right>
        <color rgb="00BFBFBF"/>
      </right>
      <top>
        <color rgb="00BFBFBF"/>
      </top>
      <bottom>
        <color rgb="00D9E1F2"/>
      </bottom>
    </border>
    <border>
      <left>
        <color rgb="00BFBFBF"/>
      </left>
      <right>
        <color rgb="00D9E1F2"/>
      </right>
      <top>
        <color rgb="00D9E1F2"/>
      </top>
      <bottom>
        <color rgb="00D9E1F2"/>
      </bottom>
    </border>
    <border>
      <left>
        <color rgb="00D9E1F2"/>
      </left>
      <right>
        <color rgb="00D9E1F2"/>
      </right>
      <top>
        <color rgb="00D9E1F2"/>
      </top>
      <bottom>
        <color rgb="00D9E1F2"/>
      </bottom>
    </border>
    <border>
      <left>
        <color rgb="00D9E1F2"/>
      </left>
      <right>
        <color rgb="00BFBFBF"/>
      </right>
      <top>
        <color rgb="00D9E1F2"/>
      </top>
      <bottom>
        <color rgb="00D9E1F2"/>
      </bottom>
    </border>
    <border>
      <left>
        <color rgb="00BFBFBF"/>
      </left>
      <right>
        <color rgb="00D9E1F2"/>
      </right>
      <top>
        <color rgb="00D9E1F2"/>
      </top>
      <bottom>
        <color rgb="00BFBFBF"/>
      </bottom>
    </border>
    <border>
      <left>
        <color rgb="00D9E1F2"/>
      </left>
      <right>
        <color rgb="00D9E1F2"/>
      </right>
      <top>
        <color rgb="00D9E1F2"/>
      </top>
      <bottom>
        <color rgb="00BFBFBF"/>
      </bottom>
    </border>
    <border>
      <left>
        <color rgb="00D9E1F2"/>
      </left>
      <right>
        <color rgb="00BFBFBF"/>
      </right>
      <top>
        <color rgb="00D9E1F2"/>
      </top>
      <bottom>
        <color rgb="00BFBFBF"/>
      </bottom>
    </border>
    <border>
      <left>
        <color rgb="00BFBFBF"/>
      </left>
      <right>
        <color rgb="00D9E1F2"/>
      </right>
      <top>
        <color rgb="00BFBFBF"/>
      </top>
      <bottom>
        <color rgb="00D9E1F2"/>
      </bottom>
    </border>
    <border>
      <left>
        <color rgb="00D9E1F2"/>
      </left>
      <right>
        <color rgb="00D9E1F2"/>
      </right>
      <top>
        <color rgb="00BFBFBF"/>
      </top>
      <bottom>
        <color rgb="00D9E1F2"/>
      </bottom>
    </border>
    <border>
      <left>
        <color rgb="00D9E1F2"/>
      </left>
      <right>
        <color rgb="00BFBFBF"/>
      </right>
      <top>
        <color rgb="00BFBFBF"/>
      </top>
      <bottom>
        <color rgb="00D9E1F2"/>
      </bottom>
    </border>
    <border>
      <left>
        <color rgb="00BFBFBF"/>
      </left>
      <right>
        <color rgb="00D9E1F2"/>
      </right>
      <top>
        <color rgb="00D9E1F2"/>
      </top>
      <bottom>
        <color rgb="00D9E1F2"/>
      </bottom>
    </border>
    <border>
      <left>
        <color rgb="00D9E1F2"/>
      </left>
      <right>
        <color rgb="00D9E1F2"/>
      </right>
      <top>
        <color rgb="00D9E1F2"/>
      </top>
      <bottom>
        <color rgb="00D9E1F2"/>
      </bottom>
    </border>
    <border>
      <left>
        <color rgb="00D9E1F2"/>
      </left>
      <right>
        <color rgb="00BFBFBF"/>
      </right>
      <top>
        <color rgb="00D9E1F2"/>
      </top>
      <bottom>
        <color rgb="00D9E1F2"/>
      </bottom>
    </border>
    <border>
      <left>
        <color rgb="00BFBFBF"/>
      </left>
      <right>
        <color rgb="00D9E1F2"/>
      </right>
      <top>
        <color rgb="00D9E1F2"/>
      </top>
      <bottom>
        <color rgb="00BFBFBF"/>
      </bottom>
    </border>
    <border>
      <left>
        <color rgb="00D9E1F2"/>
      </left>
      <right>
        <color rgb="00D9E1F2"/>
      </right>
      <top>
        <color rgb="00D9E1F2"/>
      </top>
      <bottom>
        <color rgb="00BFBFBF"/>
      </bottom>
    </border>
    <border>
      <left>
        <color rgb="00D9E1F2"/>
      </left>
      <right>
        <color rgb="00BFBFBF"/>
      </right>
      <top>
        <color rgb="00D9E1F2"/>
      </top>
      <bottom>
        <color rgb="00BFBFBF"/>
      </bottom>
    </border>
  </borders>
  <cellStyleXfs count="1">
    <xf numFmtId="0" fontId="0" fillId="0" borderId="1"/>
  </cellStyleXfs>
  <cellXfs count="1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165" fontId="0" fillId="0" borderId="6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5" fontId="0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4" fillId="5" borderId="11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164" fontId="0" fillId="0" borderId="15" applyAlignment="1" pivotButton="0" quotePrefix="0" xfId="0">
      <alignment wrapText="1"/>
    </xf>
    <xf numFmtId="165" fontId="0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8" applyAlignment="1" pivotButton="0" quotePrefix="0" xfId="0">
      <alignment wrapText="1"/>
    </xf>
    <xf numFmtId="165" fontId="0" fillId="0" borderId="18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/>
    </xf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4" fillId="6" borderId="0" applyAlignment="1" pivotButton="0" quotePrefix="0" xfId="0">
      <alignment horizont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1" pivotButton="0" quotePrefix="0" xfId="0"/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0" fillId="7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1" pivotButton="0" quotePrefix="0" xfId="0"/>
    <xf numFmtId="0" fontId="4" fillId="7" borderId="1" applyAlignment="1" pivotButton="0" quotePrefix="0" xfId="0">
      <alignment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4" fillId="7" borderId="12" applyAlignment="1" pivotButton="0" quotePrefix="0" xfId="0">
      <alignment horizontal="center" vertical="center" wrapText="1"/>
    </xf>
    <xf numFmtId="0" fontId="4" fillId="7" borderId="13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8" borderId="0" pivotButton="0" quotePrefix="0" xfId="0"/>
    <xf numFmtId="0" fontId="0" fillId="8" borderId="1" pivotButton="0" quotePrefix="0" xfId="0"/>
    <xf numFmtId="0" fontId="3" fillId="8" borderId="1" pivotButton="0" quotePrefix="0" xfId="0"/>
    <xf numFmtId="164" fontId="3" fillId="8" borderId="0" pivotButton="0" quotePrefix="0" xfId="0"/>
    <xf numFmtId="164" fontId="3" fillId="8" borderId="1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0" fillId="9" borderId="1" pivotButton="0" quotePrefix="0" xfId="0"/>
    <xf numFmtId="0" fontId="1" fillId="9" borderId="1" pivotButton="0" quotePrefix="0" xfId="0"/>
    <xf numFmtId="0" fontId="1" fillId="9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4" fillId="9" borderId="0" pivotButton="0" quotePrefix="0" xfId="0"/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9" borderId="1" applyAlignment="1" pivotButton="0" quotePrefix="0" xfId="0">
      <alignment wrapText="1"/>
    </xf>
    <xf numFmtId="0" fontId="4" fillId="9" borderId="1" applyAlignment="1" pivotButton="0" quotePrefix="0" xfId="0">
      <alignment horizont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center" vertical="center" wrapText="1"/>
    </xf>
    <xf numFmtId="0" fontId="4" fillId="9" borderId="11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9" borderId="13" applyAlignment="1" pivotButton="0" quotePrefix="0" xfId="0">
      <alignment horizontal="center" vertical="center" wrapText="1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0" fillId="10" borderId="1" pivotButton="0" quotePrefix="0" xfId="0"/>
    <xf numFmtId="0" fontId="1" fillId="10" borderId="1" pivotButton="0" quotePrefix="0" xfId="0"/>
    <xf numFmtId="0" fontId="1" fillId="1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4" fillId="10" borderId="0" pivotButton="0" quotePrefix="0" xfId="0"/>
    <xf numFmtId="0" fontId="4" fillId="10" borderId="0" applyAlignment="1" pivotButton="0" quotePrefix="0" xfId="0">
      <alignment wrapText="1"/>
    </xf>
    <xf numFmtId="0" fontId="4" fillId="10" borderId="0" applyAlignment="1" pivotButton="0" quotePrefix="0" xfId="0">
      <alignment horizontal="center" wrapText="1"/>
    </xf>
    <xf numFmtId="0" fontId="4" fillId="10" borderId="0" applyAlignment="1" pivotButton="0" quotePrefix="0" xfId="0">
      <alignment horizontal="center" vertical="center" wrapText="1"/>
    </xf>
    <xf numFmtId="0" fontId="4" fillId="10" borderId="1" pivotButton="0" quotePrefix="0" xfId="0"/>
    <xf numFmtId="0" fontId="4" fillId="10" borderId="1" applyAlignment="1" pivotButton="0" quotePrefix="0" xfId="0">
      <alignment wrapText="1"/>
    </xf>
    <xf numFmtId="0" fontId="4" fillId="10" borderId="1" applyAlignment="1" pivotButton="0" quotePrefix="0" xfId="0">
      <alignment horizont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center" vertical="center" wrapText="1"/>
    </xf>
    <xf numFmtId="0" fontId="4" fillId="10" borderId="11" applyAlignment="1" pivotButton="0" quotePrefix="0" xfId="0">
      <alignment horizontal="center" vertical="center" wrapText="1"/>
    </xf>
    <xf numFmtId="0" fontId="4" fillId="10" borderId="12" applyAlignment="1" pivotButton="0" quotePrefix="0" xfId="0">
      <alignment horizontal="center" vertical="center" wrapText="1"/>
    </xf>
    <xf numFmtId="0" fontId="4" fillId="10" borderId="13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164" fontId="3" fillId="11" borderId="0" applyAlignment="1" pivotButton="0" quotePrefix="0" xfId="0">
      <alignment wrapText="1"/>
    </xf>
    <xf numFmtId="164" fontId="0" fillId="0" borderId="0" pivotButton="0" quotePrefix="0" xfId="0"/>
    <xf numFmtId="164" fontId="0" fillId="0" borderId="6" applyAlignment="1" pivotButton="0" quotePrefix="0" xfId="0">
      <alignment wrapText="1"/>
    </xf>
    <xf numFmtId="165" fontId="0" fillId="0" borderId="6" applyAlignment="1" pivotButton="0" quotePrefix="0" xfId="0">
      <alignment wrapText="1"/>
    </xf>
    <xf numFmtId="164" fontId="0" fillId="0" borderId="9" applyAlignment="1" pivotButton="0" quotePrefix="0" xfId="0">
      <alignment wrapText="1"/>
    </xf>
    <xf numFmtId="165" fontId="0" fillId="0" borderId="9" applyAlignment="1" pivotButton="0" quotePrefix="0" xfId="0">
      <alignment wrapText="1"/>
    </xf>
    <xf numFmtId="164" fontId="3" fillId="11" borderId="0" applyAlignment="1" pivotButton="0" quotePrefix="0" xfId="0">
      <alignment wrapText="1"/>
    </xf>
    <xf numFmtId="164" fontId="3" fillId="8" borderId="0" pivotButton="0" quotePrefix="0" xfId="0"/>
  </cellXfs>
  <cellStyles count="1">
    <cellStyle name="Normal" xfId="0"/>
  </cellStyles>
  <dxfs count="6">
    <dxf>
      <font>
        <b val="1"/>
        <color rgb="009C0006"/>
      </font>
      <fill>
        <patternFill>
          <bgColor rgb="00FCE4D6"/>
        </patternFill>
      </fill>
    </dxf>
    <dxf>
      <font>
        <color rgb="00006100"/>
      </font>
      <fill>
        <patternFill>
          <bgColor rgb="00E2F0D9"/>
        </patternFill>
      </fill>
    </dxf>
    <dxf>
      <font>
        <color rgb="0038761D"/>
      </font>
      <fill>
        <patternFill>
          <bgColor rgb="00D9EAD3"/>
        </patternFill>
      </fill>
    </dxf>
    <dxf>
      <font>
        <b val="1"/>
        <color rgb="009C0006"/>
      </font>
      <fill>
        <patternFill>
          <bgColor rgb="00FCE4D6"/>
        </patternFill>
      </fill>
    </dxf>
    <dxf>
      <font>
        <b val="1"/>
        <color rgb="001F4E78"/>
      </font>
      <fill>
        <patternFill>
          <bgColor rgb="00DDEBF7"/>
        </patternFill>
      </fill>
    </dxf>
    <dxf>
      <font>
        <b val="1"/>
        <color rgb="00006100"/>
      </font>
      <fill>
        <patternFill>
          <b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控制预算</v>
          </tx>
          <spPr>
            <a:ln>
              <a:prstDash val="solid"/>
            </a:ln>
          </spPr>
          <cat>
            <strRef>
              <f>'预算总览'!$A$9:$A$19</f>
              <strCache>
                <ptCount val="0"/>
              </strCache>
            </strRef>
          </cat>
          <val>
            <numRef>
              <f>'预算总览'!$B$9:$B$19</f>
              <numCache>
                <formatCode>¥#,##0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2</row>
      <rowOff>0</rowOff>
    </from>
    <to>
      <col>14</col>
      <colOff>0</colOff>
      <row>19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urchaseTable" displayName="PurchaseTable" ref="A3:N55" headerRowCount="1">
  <tableColumns count="14">
    <tableColumn id="1" name="楼层/空间"/>
    <tableColumn id="2" name="预算大项"/>
    <tableColumn id="3" name="采购项"/>
    <tableColumn id="4" name="装修属性"/>
    <tableColumn id="5" name="阶段"/>
    <tableColumn id="6" name="建议动作"/>
    <tableColumn id="7" name="时间节点"/>
    <tableColumn id="8" name="预算下限"/>
    <tableColumn id="9" name="预算上限"/>
    <tableColumn id="10" name="控制预算"/>
    <tableColumn id="11" name="品牌推荐"/>
    <tableColumn id="12" name="优先级"/>
    <tableColumn id="13" name="状态"/>
    <tableColumn id="14" name="备注"/>
  </tableColumns>
  <tableStyleInfo name="TableStyleMedium2" showRowStripes="1"/>
</table>
</file>

<file path=xl/tables/table2.xml><?xml version="1.0" encoding="utf-8"?>
<table xmlns="http://schemas.openxmlformats.org/spreadsheetml/2006/main" id="2" name="PhaseTable" displayName="PhaseTable" ref="A3:H12" headerRowCount="1">
  <tableColumns count="8">
    <tableColumn id="1" name="阶段编号"/>
    <tableColumn id="2" name="阶段名称"/>
    <tableColumn id="3" name="月份参考"/>
    <tableColumn id="4" name="核心任务"/>
    <tableColumn id="5" name="必须先定/先买"/>
    <tableColumn id="6" name="不能买早"/>
    <tableColumn id="7" name="验收重点"/>
    <tableColumn id="8" name="关联预算大项"/>
  </tableColumns>
  <tableStyleInfo name="TableStyleMedium2" showRowStripes="1"/>
</table>
</file>

<file path=xl/tables/table3.xml><?xml version="1.0" encoding="utf-8"?>
<table xmlns="http://schemas.openxmlformats.org/spreadsheetml/2006/main" id="3" name="FloorBudgetTable" displayName="FloorBudgetTable" ref="A3:H9" headerRowCount="1">
  <tableColumns count="8">
    <tableColumn id="1" name="楼层"/>
    <tableColumn id="2" name="主要空间"/>
    <tableColumn id="3" name="必须先做"/>
    <tableColumn id="4" name="建议预算下限"/>
    <tableColumn id="5" name="建议预算上限"/>
    <tableColumn id="6" name="控制预算"/>
    <tableColumn id="7" name="可省项"/>
    <tableColumn id="8" name="不可省项"/>
  </tableColumns>
  <tableStyleInfo name="TableStyleMedium2" showRowStripes="1"/>
</table>
</file>

<file path=xl/tables/table4.xml><?xml version="1.0" encoding="utf-8"?>
<table xmlns="http://schemas.openxmlformats.org/spreadsheetml/2006/main" id="4" name="BrandTable" displayName="BrandTable" ref="A3:E18" headerRowCount="1">
  <tableColumns count="5">
    <tableColumn id="1" name="类别"/>
    <tableColumn id="2" name="性价比推荐"/>
    <tableColumn id="3" name="中高配推荐"/>
    <tableColumn id="4" name="选择重点"/>
    <tableColumn id="5" name="适合区域"/>
  </tableColumns>
  <tableStyleInfo name="TableStyleMedium2" showRowStripes="1"/>
</table>
</file>

<file path=xl/tables/table5.xml><?xml version="1.0" encoding="utf-8"?>
<table xmlns="http://schemas.openxmlformats.org/spreadsheetml/2006/main" id="5" name="PitfallTable" displayName="PitfallTable" ref="A3:E17" headerRowCount="1">
  <tableColumns count="5">
    <tableColumn id="1" name="类型"/>
    <tableColumn id="2" name="项目"/>
    <tableColumn id="3" name="为什么要注意"/>
    <tableColumn id="4" name="建议处理"/>
    <tableColumn id="5" name="采购时机"/>
  </tableColumns>
  <tableStyleInfo name="TableStyleMedium2" showRowStripes="1"/>
</table>
</file>

<file path=xl/tables/table6.xml><?xml version="1.0" encoding="utf-8"?>
<table xmlns="http://schemas.openxmlformats.org/spreadsheetml/2006/main" id="6" name="QuoteCompareTable" displayName="QuoteCompareTable" ref="A4:K24" headerRowCount="1">
  <tableColumns count="11">
    <tableColumn id="1" name="供应商"/>
    <tableColumn id="2" name="项目/品类"/>
    <tableColumn id="3" name="品牌型号"/>
    <tableColumn id="4" name="报价金额"/>
    <tableColumn id="5" name="报价是否含安装"/>
    <tableColumn id="6" name="报价是否含辅材"/>
    <tableColumn id="7" name="质保/维保"/>
    <tableColumn id="8" name="付款节点"/>
    <tableColumn id="9" name="交付周期"/>
    <tableColumn id="10" name="是否推荐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style="184" min="1" max="1"/>
    <col width="14" customWidth="1" style="184" min="2" max="2"/>
    <col width="12" customWidth="1" style="184" min="3" max="3"/>
    <col width="12" customWidth="1" style="184" min="4" max="4"/>
    <col width="12" customWidth="1" style="184" min="5" max="5"/>
  </cols>
  <sheetData>
    <row r="1" ht="30" customHeight="1" s="184">
      <c r="A1" s="9" t="inlineStr">
        <is>
          <t>嘉兴五层别墅装修采购预算与先后顺序总览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5" t="inlineStr">
        <is>
          <t>预算口径：120万 RMB，包含硬装、主材、系统、电梯、定制、基础家电家具；软装可分期。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7" t="inlineStr">
        <is>
          <t>总预算</t>
        </is>
      </c>
      <c r="B3" s="189" t="n">
        <v>1200000</v>
      </c>
      <c r="C3" t="inlineStr">
        <is>
          <t>RMB</t>
        </is>
      </c>
    </row>
    <row r="4">
      <c r="A4" s="17" t="inlineStr">
        <is>
          <t>已分配预算</t>
        </is>
      </c>
      <c r="B4" s="189">
        <f>SUM(B9:B19)</f>
        <v/>
      </c>
      <c r="C4" t="inlineStr">
        <is>
          <t>RMB</t>
        </is>
      </c>
    </row>
    <row r="5">
      <c r="A5" s="17" t="inlineStr">
        <is>
          <t>与总预算差额</t>
        </is>
      </c>
      <c r="B5" s="189">
        <f>B3-B4</f>
        <v/>
      </c>
      <c r="C5" t="inlineStr">
        <is>
          <t>RMB</t>
        </is>
      </c>
    </row>
    <row r="6">
      <c r="A6" s="17" t="inlineStr">
        <is>
          <t>硬装/系统优先金额</t>
        </is>
      </c>
      <c r="B6" s="189">
        <f>SUM(B9:B12)+B13</f>
        <v/>
      </c>
      <c r="C6" t="inlineStr">
        <is>
          <t>RMB</t>
        </is>
      </c>
    </row>
    <row r="8" ht="24" customHeight="1" s="184">
      <c r="A8" s="40" t="inlineStr">
        <is>
          <t>预算大项</t>
        </is>
      </c>
      <c r="B8" s="41" t="inlineStr">
        <is>
          <t>控制预算</t>
        </is>
      </c>
      <c r="C8" s="41" t="inlineStr">
        <is>
          <t>占比</t>
        </is>
      </c>
      <c r="D8" s="41" t="inlineStr">
        <is>
          <t>采购时机</t>
        </is>
      </c>
      <c r="E8" s="42" t="inlineStr">
        <is>
          <t>优先级</t>
        </is>
      </c>
    </row>
    <row r="9">
      <c r="A9" s="43" t="inlineStr">
        <is>
          <t>设计/监理/深化图</t>
        </is>
      </c>
      <c r="B9" s="190" t="n">
        <v>45000</v>
      </c>
      <c r="C9" s="191">
        <f>B9/$B$3</f>
        <v/>
      </c>
      <c r="D9" s="46" t="inlineStr">
        <is>
          <t>先定</t>
        </is>
      </c>
      <c r="E9" s="47" t="inlineStr">
        <is>
          <t>高</t>
        </is>
      </c>
    </row>
    <row r="10">
      <c r="A10" s="43" t="inlineStr">
        <is>
          <t>基础硬装</t>
        </is>
      </c>
      <c r="B10" s="190" t="n">
        <v>200000</v>
      </c>
      <c r="C10" s="191">
        <f>B10/$B$3</f>
        <v/>
      </c>
      <c r="D10" s="46" t="inlineStr">
        <is>
          <t>先做</t>
        </is>
      </c>
      <c r="E10" s="47" t="inlineStr">
        <is>
          <t>最高</t>
        </is>
      </c>
    </row>
    <row r="11">
      <c r="A11" s="43" t="inlineStr">
        <is>
          <t>主材</t>
        </is>
      </c>
      <c r="B11" s="190" t="n">
        <v>150000</v>
      </c>
      <c r="C11" s="191">
        <f>B11/$B$3</f>
        <v/>
      </c>
      <c r="D11" s="46" t="inlineStr">
        <is>
          <t>中期买</t>
        </is>
      </c>
      <c r="E11" s="47" t="inlineStr">
        <is>
          <t>高</t>
        </is>
      </c>
    </row>
    <row r="12">
      <c r="A12" s="43" t="inlineStr">
        <is>
          <t>舒适系统</t>
        </is>
      </c>
      <c r="B12" s="190" t="n">
        <v>230000</v>
      </c>
      <c r="C12" s="191">
        <f>B12/$B$3</f>
        <v/>
      </c>
      <c r="D12" s="46" t="inlineStr">
        <is>
          <t>最早定</t>
        </is>
      </c>
      <c r="E12" s="47" t="inlineStr">
        <is>
          <t>最高</t>
        </is>
      </c>
    </row>
    <row r="13">
      <c r="A13" s="43" t="inlineStr">
        <is>
          <t>家用电梯</t>
        </is>
      </c>
      <c r="B13" s="190" t="n">
        <v>140000</v>
      </c>
      <c r="C13" s="191">
        <f>B13/$B$3</f>
        <v/>
      </c>
      <c r="D13" s="46" t="inlineStr">
        <is>
          <t>最早定</t>
        </is>
      </c>
      <c r="E13" s="47" t="inlineStr">
        <is>
          <t>最高</t>
        </is>
      </c>
    </row>
    <row r="14">
      <c r="A14" s="43" t="inlineStr">
        <is>
          <t>全屋定制</t>
        </is>
      </c>
      <c r="B14" s="190" t="n">
        <v>135000</v>
      </c>
      <c r="C14" s="191">
        <f>B14/$B$3</f>
        <v/>
      </c>
      <c r="D14" s="46" t="inlineStr">
        <is>
          <t>复尺后下单</t>
        </is>
      </c>
      <c r="E14" s="47" t="inlineStr">
        <is>
          <t>高</t>
        </is>
      </c>
    </row>
    <row r="15">
      <c r="A15" s="43" t="inlineStr">
        <is>
          <t>厨房+洗衣家电</t>
        </is>
      </c>
      <c r="B15" s="190" t="n">
        <v>55000</v>
      </c>
      <c r="C15" s="191">
        <f>B15/$B$3</f>
        <v/>
      </c>
      <c r="D15" s="46" t="inlineStr">
        <is>
          <t>水电前定尺寸</t>
        </is>
      </c>
      <c r="E15" s="47" t="inlineStr">
        <is>
          <t>高</t>
        </is>
      </c>
    </row>
    <row r="16">
      <c r="A16" s="43" t="inlineStr">
        <is>
          <t>卫浴洁具五金</t>
        </is>
      </c>
      <c r="B16" s="190" t="n">
        <v>65000</v>
      </c>
      <c r="C16" s="191">
        <f>B16/$B$3</f>
        <v/>
      </c>
      <c r="D16" s="46" t="inlineStr">
        <is>
          <t>水电前定型号</t>
        </is>
      </c>
      <c r="E16" s="47" t="inlineStr">
        <is>
          <t>高</t>
        </is>
      </c>
    </row>
    <row r="17">
      <c r="A17" s="43" t="inlineStr">
        <is>
          <t>灯光+智能+弱电+窗帘</t>
        </is>
      </c>
      <c r="B17" s="190" t="n">
        <v>60000</v>
      </c>
      <c r="C17" s="191">
        <f>B17/$B$3</f>
        <v/>
      </c>
      <c r="D17" s="46" t="inlineStr">
        <is>
          <t>水电前定点位</t>
        </is>
      </c>
      <c r="E17" s="47" t="inlineStr">
        <is>
          <t>中高</t>
        </is>
      </c>
    </row>
    <row r="18">
      <c r="A18" s="43" t="inlineStr">
        <is>
          <t>家具软装一期</t>
        </is>
      </c>
      <c r="B18" s="190" t="n">
        <v>80000</v>
      </c>
      <c r="C18" s="191">
        <f>B18/$B$3</f>
        <v/>
      </c>
      <c r="D18" s="46" t="inlineStr">
        <is>
          <t>后期买</t>
        </is>
      </c>
      <c r="E18" s="47" t="inlineStr">
        <is>
          <t>中</t>
        </is>
      </c>
    </row>
    <row r="19">
      <c r="A19" s="48" t="inlineStr">
        <is>
          <t>预备金</t>
        </is>
      </c>
      <c r="B19" s="192" t="n">
        <v>40000</v>
      </c>
      <c r="C19" s="193">
        <f>B19/$B$3</f>
        <v/>
      </c>
      <c r="D19" s="51" t="inlineStr">
        <is>
          <t>保留</t>
        </is>
      </c>
      <c r="E19" s="52" t="inlineStr">
        <is>
          <t>高</t>
        </is>
      </c>
    </row>
    <row r="21">
      <c r="A21" s="187" t="inlineStr">
        <is>
          <t>采购清单控制预算合计</t>
        </is>
      </c>
      <c r="B21" s="194">
        <f>SUM('采购清单'!J4:J66)</f>
        <v/>
      </c>
      <c r="C21" s="194" t="inlineStr">
        <is>
          <t>与总预算差额</t>
        </is>
      </c>
      <c r="D21" s="194">
        <f>B3-B21</f>
        <v/>
      </c>
      <c r="E21" s="187" t="inlineStr">
        <is>
          <t>核对</t>
        </is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cols>
    <col width="14" customWidth="1" style="184" min="1" max="1"/>
    <col width="18" customWidth="1" style="184" min="2" max="2"/>
    <col width="24" customWidth="1" style="184" min="3" max="3"/>
    <col width="10" customWidth="1" style="184" min="4" max="4"/>
    <col width="14" customWidth="1" style="184" min="5" max="5"/>
    <col width="15" customWidth="1" style="184" min="6" max="6"/>
    <col width="18" customWidth="1" style="184" min="7" max="7"/>
    <col width="12" customWidth="1" style="184" min="8" max="8"/>
    <col width="12" customWidth="1" style="184" min="9" max="9"/>
    <col width="12" customWidth="1" style="184" min="10" max="10"/>
    <col width="32" customWidth="1" style="184" min="11" max="11"/>
    <col width="9" customWidth="1" style="184" min="12" max="12"/>
    <col width="10" customWidth="1" style="184" min="13" max="13"/>
    <col width="38" customWidth="1" style="184" min="14" max="14"/>
  </cols>
  <sheetData>
    <row r="1" ht="30" customHeight="1" s="184">
      <c r="A1" s="71" t="inlineStr">
        <is>
          <t>装修采购总清单：先定 / 先买 / 后装 / 可延期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 ht="24" customHeight="1" s="184">
      <c r="A3" s="40" t="inlineStr">
        <is>
          <t>楼层/空间</t>
        </is>
      </c>
      <c r="B3" s="41" t="inlineStr">
        <is>
          <t>预算大项</t>
        </is>
      </c>
      <c r="C3" s="41" t="inlineStr">
        <is>
          <t>采购项</t>
        </is>
      </c>
      <c r="D3" s="41" t="inlineStr">
        <is>
          <t>装修属性</t>
        </is>
      </c>
      <c r="E3" s="41" t="inlineStr">
        <is>
          <t>阶段</t>
        </is>
      </c>
      <c r="F3" s="41" t="inlineStr">
        <is>
          <t>建议动作</t>
        </is>
      </c>
      <c r="G3" s="41" t="inlineStr">
        <is>
          <t>时间节点</t>
        </is>
      </c>
      <c r="H3" s="41" t="inlineStr">
        <is>
          <t>预算下限</t>
        </is>
      </c>
      <c r="I3" s="41" t="inlineStr">
        <is>
          <t>预算上限</t>
        </is>
      </c>
      <c r="J3" s="41" t="inlineStr">
        <is>
          <t>控制预算</t>
        </is>
      </c>
      <c r="K3" s="41" t="inlineStr">
        <is>
          <t>品牌推荐</t>
        </is>
      </c>
      <c r="L3" s="41" t="inlineStr">
        <is>
          <t>优先级</t>
        </is>
      </c>
      <c r="M3" s="41" t="inlineStr">
        <is>
          <t>状态</t>
        </is>
      </c>
      <c r="N3" s="42" t="inlineStr">
        <is>
          <t>备注</t>
        </is>
      </c>
      <c r="O3" s="26" t="inlineStr">
        <is>
          <t>实际花费</t>
        </is>
      </c>
      <c r="P3" s="26" t="inlineStr">
        <is>
          <t>已支付</t>
        </is>
      </c>
      <c r="Q3" s="26" t="inlineStr">
        <is>
          <t>供应商</t>
        </is>
      </c>
    </row>
    <row r="4" ht="42" customHeight="1" s="184">
      <c r="A4" s="43" t="inlineStr">
        <is>
          <t>全屋</t>
        </is>
      </c>
      <c r="B4" s="46" t="inlineStr">
        <is>
          <t>设计/监理/深化图</t>
        </is>
      </c>
      <c r="C4" s="46" t="inlineStr">
        <is>
          <t>平面方案+施工图深化</t>
        </is>
      </c>
      <c r="D4" s="46" t="inlineStr">
        <is>
          <t>设计</t>
        </is>
      </c>
      <c r="E4" s="46" t="inlineStr">
        <is>
          <t>0 开工前</t>
        </is>
      </c>
      <c r="F4" s="46" t="inlineStr">
        <is>
          <t>先定</t>
        </is>
      </c>
      <c r="G4" s="46" t="inlineStr">
        <is>
          <t>开工前1-2个月</t>
        </is>
      </c>
      <c r="H4" s="190" t="n">
        <v>25000</v>
      </c>
      <c r="I4" s="190" t="n">
        <v>35000</v>
      </c>
      <c r="J4" s="190" t="n">
        <v>30000</v>
      </c>
      <c r="K4" s="46" t="inlineStr">
        <is>
          <t>本地独立设计师/设计工作室</t>
        </is>
      </c>
      <c r="L4" s="46" t="inlineStr">
        <is>
          <t>高</t>
        </is>
      </c>
      <c r="M4" s="46" t="inlineStr">
        <is>
          <t>未开始</t>
        </is>
      </c>
      <c r="N4" s="47" t="inlineStr">
        <is>
          <t>必须包含灯光、水电、暖通、柜体、节点图</t>
        </is>
      </c>
      <c r="O4" t="n">
        <v>0</v>
      </c>
      <c r="P4" t="n">
        <v>0</v>
      </c>
      <c r="Q4" t="inlineStr"/>
    </row>
    <row r="5" ht="42" customHeight="1" s="184">
      <c r="A5" s="43" t="inlineStr">
        <is>
          <t>全屋</t>
        </is>
      </c>
      <c r="B5" s="46" t="inlineStr">
        <is>
          <t>设计/监理/深化图</t>
        </is>
      </c>
      <c r="C5" s="46" t="inlineStr">
        <is>
          <t>第三方监理/节点验收</t>
        </is>
      </c>
      <c r="D5" s="46" t="inlineStr">
        <is>
          <t>设计</t>
        </is>
      </c>
      <c r="E5" s="46" t="inlineStr">
        <is>
          <t>0 开工前</t>
        </is>
      </c>
      <c r="F5" s="46" t="inlineStr">
        <is>
          <t>先定</t>
        </is>
      </c>
      <c r="G5" s="46" t="inlineStr">
        <is>
          <t>开工前1个月</t>
        </is>
      </c>
      <c r="H5" s="190" t="n">
        <v>10000</v>
      </c>
      <c r="I5" s="190" t="n">
        <v>20000</v>
      </c>
      <c r="J5" s="190" t="n">
        <v>15000</v>
      </c>
      <c r="K5" s="46" t="inlineStr">
        <is>
          <t>独立监理/熟悉别墅项目人员</t>
        </is>
      </c>
      <c r="L5" s="46" t="inlineStr">
        <is>
          <t>高</t>
        </is>
      </c>
      <c r="M5" s="46" t="inlineStr">
        <is>
          <t>未开始</t>
        </is>
      </c>
      <c r="N5" s="47" t="inlineStr">
        <is>
          <t>重点验收隐蔽工程、防水、暖通、电梯</t>
        </is>
      </c>
      <c r="O5" t="n">
        <v>0</v>
      </c>
      <c r="P5" t="n">
        <v>0</v>
      </c>
      <c r="Q5" t="inlineStr"/>
    </row>
    <row r="6" ht="42" customHeight="1" s="184">
      <c r="A6" s="43" t="inlineStr">
        <is>
          <t>全屋</t>
        </is>
      </c>
      <c r="B6" s="46" t="inlineStr">
        <is>
          <t>基础硬装</t>
        </is>
      </c>
      <c r="C6" s="46" t="inlineStr">
        <is>
          <t>拆改/砌墙/土建基础</t>
        </is>
      </c>
      <c r="D6" s="46" t="inlineStr">
        <is>
          <t>硬装</t>
        </is>
      </c>
      <c r="E6" s="46" t="inlineStr">
        <is>
          <t>1 拆改土建</t>
        </is>
      </c>
      <c r="F6" s="46" t="inlineStr">
        <is>
          <t>先买材料/施工</t>
        </is>
      </c>
      <c r="G6" s="46" t="inlineStr">
        <is>
          <t>第1-2个月</t>
        </is>
      </c>
      <c r="H6" s="190" t="n">
        <v>30000</v>
      </c>
      <c r="I6" s="190" t="n">
        <v>45000</v>
      </c>
      <c r="J6" s="190" t="n">
        <v>35000</v>
      </c>
      <c r="K6" s="46" t="inlineStr">
        <is>
          <t>施工方报价，材料需列明</t>
        </is>
      </c>
      <c r="L6" s="46" t="inlineStr">
        <is>
          <t>高</t>
        </is>
      </c>
      <c r="M6" s="46" t="inlineStr">
        <is>
          <t>未开始</t>
        </is>
      </c>
      <c r="N6" s="47" t="inlineStr">
        <is>
          <t>门洞、电梯井、墙体调整要先确认</t>
        </is>
      </c>
      <c r="O6" t="n">
        <v>0</v>
      </c>
      <c r="P6" t="n">
        <v>0</v>
      </c>
      <c r="Q6" t="inlineStr"/>
    </row>
    <row r="7" ht="42" customHeight="1" s="184">
      <c r="A7" s="43" t="inlineStr">
        <is>
          <t>全屋</t>
        </is>
      </c>
      <c r="B7" s="46" t="inlineStr">
        <is>
          <t>基础硬装</t>
        </is>
      </c>
      <c r="C7" s="46" t="inlineStr">
        <is>
          <t>水电强弱电布线</t>
        </is>
      </c>
      <c r="D7" s="46" t="inlineStr">
        <is>
          <t>硬装</t>
        </is>
      </c>
      <c r="E7" s="46" t="inlineStr">
        <is>
          <t>2 水电</t>
        </is>
      </c>
      <c r="F7" s="46" t="inlineStr">
        <is>
          <t>先做</t>
        </is>
      </c>
      <c r="G7" s="46" t="inlineStr">
        <is>
          <t>第2个月</t>
        </is>
      </c>
      <c r="H7" s="190" t="n">
        <v>45000</v>
      </c>
      <c r="I7" s="190" t="n">
        <v>60000</v>
      </c>
      <c r="J7" s="190" t="n">
        <v>50000</v>
      </c>
      <c r="K7" s="46" t="inlineStr">
        <is>
          <t>公牛/远东/熊猫/伟星/日丰/秋叶原</t>
        </is>
      </c>
      <c r="L7" s="46" t="inlineStr">
        <is>
          <t>最高</t>
        </is>
      </c>
      <c r="M7" s="46" t="inlineStr">
        <is>
          <t>未开始</t>
        </is>
      </c>
      <c r="N7" s="47" t="inlineStr">
        <is>
          <t>五层别墅网线、AP、摄像头、电动窗帘电源必须预留</t>
        </is>
      </c>
      <c r="O7" t="n">
        <v>0</v>
      </c>
      <c r="P7" t="n">
        <v>0</v>
      </c>
      <c r="Q7" t="inlineStr"/>
    </row>
    <row r="8" ht="42" customHeight="1" s="184">
      <c r="A8" s="43" t="inlineStr">
        <is>
          <t>卫浴/露台/洗衣</t>
        </is>
      </c>
      <c r="B8" s="46" t="inlineStr">
        <is>
          <t>基础硬装</t>
        </is>
      </c>
      <c r="C8" s="46" t="inlineStr">
        <is>
          <t>防水工程</t>
        </is>
      </c>
      <c r="D8" s="46" t="inlineStr">
        <is>
          <t>硬装</t>
        </is>
      </c>
      <c r="E8" s="46" t="inlineStr">
        <is>
          <t>3 防水地暖</t>
        </is>
      </c>
      <c r="F8" s="46" t="inlineStr">
        <is>
          <t>先做</t>
        </is>
      </c>
      <c r="G8" s="46" t="inlineStr">
        <is>
          <t>第2-3个月</t>
        </is>
      </c>
      <c r="H8" s="190" t="n">
        <v>20000</v>
      </c>
      <c r="I8" s="190" t="n">
        <v>30000</v>
      </c>
      <c r="J8" s="190" t="n">
        <v>25000</v>
      </c>
      <c r="K8" s="46" t="inlineStr">
        <is>
          <t>东方雨虹/德高/西卡/卓宝</t>
        </is>
      </c>
      <c r="L8" s="46" t="inlineStr">
        <is>
          <t>最高</t>
        </is>
      </c>
      <c r="M8" s="46" t="inlineStr">
        <is>
          <t>未开始</t>
        </is>
      </c>
      <c r="N8" s="47" t="inlineStr">
        <is>
          <t>卫生间、露台、洗衣区必须闭水/淋水测试</t>
        </is>
      </c>
      <c r="O8" t="n">
        <v>0</v>
      </c>
      <c r="P8" t="n">
        <v>0</v>
      </c>
      <c r="Q8" t="inlineStr"/>
    </row>
    <row r="9" ht="42" customHeight="1" s="184">
      <c r="A9" s="43" t="inlineStr">
        <is>
          <t>B1/B2地下室</t>
        </is>
      </c>
      <c r="B9" s="46" t="inlineStr">
        <is>
          <t>基础硬装</t>
        </is>
      </c>
      <c r="C9" s="46" t="inlineStr">
        <is>
          <t>地下室基础防潮防霉基层</t>
        </is>
      </c>
      <c r="D9" s="46" t="inlineStr">
        <is>
          <t>硬装</t>
        </is>
      </c>
      <c r="E9" s="46" t="inlineStr">
        <is>
          <t>1 拆改土建</t>
        </is>
      </c>
      <c r="F9" s="46" t="inlineStr">
        <is>
          <t>先做</t>
        </is>
      </c>
      <c r="G9" s="46" t="inlineStr">
        <is>
          <t>第1-3个月</t>
        </is>
      </c>
      <c r="H9" s="190" t="n">
        <v>30000</v>
      </c>
      <c r="I9" s="190" t="n">
        <v>45000</v>
      </c>
      <c r="J9" s="190" t="n">
        <v>35000</v>
      </c>
      <c r="K9" s="46" t="inlineStr">
        <is>
          <t>东方雨虹/德高/西卡/专业防潮公司</t>
        </is>
      </c>
      <c r="L9" s="46" t="inlineStr">
        <is>
          <t>最高</t>
        </is>
      </c>
      <c r="M9" s="46" t="inlineStr">
        <is>
          <t>未开始</t>
        </is>
      </c>
      <c r="N9" s="47" t="inlineStr">
        <is>
          <t>嘉兴潮湿，地下室防潮、防霉、排水不能省</t>
        </is>
      </c>
      <c r="O9" t="n">
        <v>0</v>
      </c>
      <c r="P9" t="n">
        <v>0</v>
      </c>
      <c r="Q9" t="inlineStr"/>
    </row>
    <row r="10" ht="42" customHeight="1" s="184">
      <c r="A10" s="43" t="inlineStr">
        <is>
          <t>全屋</t>
        </is>
      </c>
      <c r="B10" s="46" t="inlineStr">
        <is>
          <t>基础硬装</t>
        </is>
      </c>
      <c r="C10" s="46" t="inlineStr">
        <is>
          <t>泥工/木工/油漆辅材人工</t>
        </is>
      </c>
      <c r="D10" s="46" t="inlineStr">
        <is>
          <t>硬装</t>
        </is>
      </c>
      <c r="E10" s="46" t="inlineStr">
        <is>
          <t>4-6 中期硬装</t>
        </is>
      </c>
      <c r="F10" s="46" t="inlineStr">
        <is>
          <t>分阶段施工</t>
        </is>
      </c>
      <c r="G10" s="46" t="inlineStr">
        <is>
          <t>第3-5个月</t>
        </is>
      </c>
      <c r="H10" s="190" t="n">
        <v>50000</v>
      </c>
      <c r="I10" s="190" t="n">
        <v>70000</v>
      </c>
      <c r="J10" s="190" t="n">
        <v>55000</v>
      </c>
      <c r="K10" s="46" t="inlineStr">
        <is>
          <t>施工方报价，辅材需列明</t>
        </is>
      </c>
      <c r="L10" s="46" t="inlineStr">
        <is>
          <t>高</t>
        </is>
      </c>
      <c r="M10" s="46" t="inlineStr">
        <is>
          <t>未开始</t>
        </is>
      </c>
      <c r="N10" s="47" t="inlineStr">
        <is>
          <t>控制复杂吊顶和背景墙，避免加项</t>
        </is>
      </c>
      <c r="O10" t="n">
        <v>0</v>
      </c>
      <c r="P10" t="n">
        <v>0</v>
      </c>
      <c r="Q10" t="inlineStr"/>
    </row>
    <row r="11" ht="42" customHeight="1" s="184">
      <c r="A11" s="43" t="inlineStr">
        <is>
          <t>1F客餐厅</t>
        </is>
      </c>
      <c r="B11" s="46" t="inlineStr">
        <is>
          <t>主材</t>
        </is>
      </c>
      <c r="C11" s="46" t="inlineStr">
        <is>
          <t>客餐厅地砖</t>
        </is>
      </c>
      <c r="D11" s="46" t="inlineStr">
        <is>
          <t>主材</t>
        </is>
      </c>
      <c r="E11" s="46" t="inlineStr">
        <is>
          <t>4 瓦工</t>
        </is>
      </c>
      <c r="F11" s="46" t="inlineStr">
        <is>
          <t>先买</t>
        </is>
      </c>
      <c r="G11" s="46" t="inlineStr">
        <is>
          <t>第3个月</t>
        </is>
      </c>
      <c r="H11" s="190" t="n">
        <v>20000</v>
      </c>
      <c r="I11" s="190" t="n">
        <v>30000</v>
      </c>
      <c r="J11" s="190" t="n">
        <v>25000</v>
      </c>
      <c r="K11" s="46" t="inlineStr">
        <is>
          <t>诺贝尔/马可波罗/东鹏/蒙娜丽莎/冠珠</t>
        </is>
      </c>
      <c r="L11" s="46" t="inlineStr">
        <is>
          <t>中高</t>
        </is>
      </c>
      <c r="M11" s="46" t="inlineStr">
        <is>
          <t>未开始</t>
        </is>
      </c>
      <c r="N11" s="47" t="inlineStr">
        <is>
          <t>一层建议耐磨好清洁，不必上进口砖</t>
        </is>
      </c>
      <c r="O11" t="n">
        <v>0</v>
      </c>
      <c r="P11" t="n">
        <v>0</v>
      </c>
      <c r="Q11" t="inlineStr"/>
    </row>
    <row r="12" ht="42" customHeight="1" s="184">
      <c r="A12" s="43" t="inlineStr">
        <is>
          <t>厨卫</t>
        </is>
      </c>
      <c r="B12" s="46" t="inlineStr">
        <is>
          <t>主材</t>
        </is>
      </c>
      <c r="C12" s="46" t="inlineStr">
        <is>
          <t>厨房/卫生间墙地砖</t>
        </is>
      </c>
      <c r="D12" s="46" t="inlineStr">
        <is>
          <t>主材</t>
        </is>
      </c>
      <c r="E12" s="46" t="inlineStr">
        <is>
          <t>4 瓦工</t>
        </is>
      </c>
      <c r="F12" s="46" t="inlineStr">
        <is>
          <t>先买</t>
        </is>
      </c>
      <c r="G12" s="46" t="inlineStr">
        <is>
          <t>第3个月</t>
        </is>
      </c>
      <c r="H12" s="190" t="n">
        <v>16000</v>
      </c>
      <c r="I12" s="190" t="n">
        <v>25000</v>
      </c>
      <c r="J12" s="190" t="n">
        <v>20000</v>
      </c>
      <c r="K12" s="46" t="inlineStr">
        <is>
          <t>诺贝尔/马可波罗/东鹏/蒙娜丽莎/冠珠</t>
        </is>
      </c>
      <c r="L12" s="46" t="inlineStr">
        <is>
          <t>高</t>
        </is>
      </c>
      <c r="M12" s="46" t="inlineStr">
        <is>
          <t>未开始</t>
        </is>
      </c>
      <c r="N12" s="47" t="inlineStr">
        <is>
          <t>卫生间地面优先防滑</t>
        </is>
      </c>
      <c r="O12" t="n">
        <v>0</v>
      </c>
      <c r="P12" t="n">
        <v>0</v>
      </c>
      <c r="Q12" t="inlineStr"/>
    </row>
    <row r="13" ht="42" customHeight="1" s="184">
      <c r="A13" s="43" t="inlineStr">
        <is>
          <t>B1/B2地下室</t>
        </is>
      </c>
      <c r="B13" s="46" t="inlineStr">
        <is>
          <t>主材</t>
        </is>
      </c>
      <c r="C13" s="46" t="inlineStr">
        <is>
          <t>地下室防潮地面/墙面材料</t>
        </is>
      </c>
      <c r="D13" s="46" t="inlineStr">
        <is>
          <t>主材</t>
        </is>
      </c>
      <c r="E13" s="46" t="inlineStr">
        <is>
          <t>4 瓦工</t>
        </is>
      </c>
      <c r="F13" s="46" t="inlineStr">
        <is>
          <t>先买</t>
        </is>
      </c>
      <c r="G13" s="46" t="inlineStr">
        <is>
          <t>第3个月</t>
        </is>
      </c>
      <c r="H13" s="190" t="n">
        <v>25000</v>
      </c>
      <c r="I13" s="190" t="n">
        <v>40000</v>
      </c>
      <c r="J13" s="190" t="n">
        <v>30000</v>
      </c>
      <c r="K13" s="46" t="inlineStr">
        <is>
          <t>瓷砖/SPC/微水泥/防潮墙板</t>
        </is>
      </c>
      <c r="L13" s="46" t="inlineStr">
        <is>
          <t>最高</t>
        </is>
      </c>
      <c r="M13" s="46" t="inlineStr">
        <is>
          <t>未开始</t>
        </is>
      </c>
      <c r="N13" s="47" t="inlineStr">
        <is>
          <t>地下室尽量少用实木地板和普通墙布</t>
        </is>
      </c>
      <c r="O13" t="n">
        <v>0</v>
      </c>
      <c r="P13" t="n">
        <v>0</v>
      </c>
      <c r="Q13" t="inlineStr"/>
    </row>
    <row r="14" ht="42" customHeight="1" s="184">
      <c r="A14" s="43" t="inlineStr">
        <is>
          <t>2F/3F卧室</t>
        </is>
      </c>
      <c r="B14" s="46" t="inlineStr">
        <is>
          <t>主材</t>
        </is>
      </c>
      <c r="C14" s="46" t="inlineStr">
        <is>
          <t>卧室地板</t>
        </is>
      </c>
      <c r="D14" s="46" t="inlineStr">
        <is>
          <t>主材</t>
        </is>
      </c>
      <c r="E14" s="46" t="inlineStr">
        <is>
          <t>6-7 安装前</t>
        </is>
      </c>
      <c r="F14" s="46" t="inlineStr">
        <is>
          <t>中期定</t>
        </is>
      </c>
      <c r="G14" s="46" t="inlineStr">
        <is>
          <t>第4-6个月</t>
        </is>
      </c>
      <c r="H14" s="190" t="n">
        <v>15000</v>
      </c>
      <c r="I14" s="190" t="n">
        <v>25000</v>
      </c>
      <c r="J14" s="190" t="n">
        <v>20000</v>
      </c>
      <c r="K14" s="46" t="inlineStr">
        <is>
          <t>圣象/大自然/生活家/书香门地</t>
        </is>
      </c>
      <c r="L14" s="46" t="inlineStr">
        <is>
          <t>中</t>
        </is>
      </c>
      <c r="M14" s="46" t="inlineStr">
        <is>
          <t>未开始</t>
        </is>
      </c>
      <c r="N14" s="47" t="inlineStr">
        <is>
          <t>卧室可以木地板；地下室不建议</t>
        </is>
      </c>
      <c r="O14" t="n">
        <v>0</v>
      </c>
      <c r="P14" t="n">
        <v>0</v>
      </c>
      <c r="Q14" t="inlineStr"/>
    </row>
    <row r="15" ht="42" customHeight="1" s="184">
      <c r="A15" s="43" t="inlineStr">
        <is>
          <t>全屋</t>
        </is>
      </c>
      <c r="B15" s="46" t="inlineStr">
        <is>
          <t>主材</t>
        </is>
      </c>
      <c r="C15" s="46" t="inlineStr">
        <is>
          <t>室内门/门套</t>
        </is>
      </c>
      <c r="D15" s="46" t="inlineStr">
        <is>
          <t>主材</t>
        </is>
      </c>
      <c r="E15" s="46" t="inlineStr">
        <is>
          <t>5 木作门窗</t>
        </is>
      </c>
      <c r="F15" s="46" t="inlineStr">
        <is>
          <t>复尺后下单</t>
        </is>
      </c>
      <c r="G15" s="46" t="inlineStr">
        <is>
          <t>第4个月</t>
        </is>
      </c>
      <c r="H15" s="190" t="n">
        <v>20000</v>
      </c>
      <c r="I15" s="190" t="n">
        <v>30000</v>
      </c>
      <c r="J15" s="190" t="n">
        <v>25000</v>
      </c>
      <c r="K15" s="46" t="inlineStr">
        <is>
          <t>TATA/梦天/3D/霍尔茨</t>
        </is>
      </c>
      <c r="L15" s="46" t="inlineStr">
        <is>
          <t>中高</t>
        </is>
      </c>
      <c r="M15" s="46" t="inlineStr">
        <is>
          <t>未开始</t>
        </is>
      </c>
      <c r="N15" s="47" t="inlineStr">
        <is>
          <t>门洞完成后复尺，别太早下单</t>
        </is>
      </c>
      <c r="O15" t="n">
        <v>0</v>
      </c>
      <c r="P15" t="n">
        <v>0</v>
      </c>
      <c r="Q15" t="inlineStr"/>
    </row>
    <row r="16" ht="42" customHeight="1" s="184">
      <c r="A16" s="43" t="inlineStr">
        <is>
          <t>楼梯</t>
        </is>
      </c>
      <c r="B16" s="46" t="inlineStr">
        <is>
          <t>主材</t>
        </is>
      </c>
      <c r="C16" s="46" t="inlineStr">
        <is>
          <t>楼梯踏步/扶手</t>
        </is>
      </c>
      <c r="D16" s="46" t="inlineStr">
        <is>
          <t>主材</t>
        </is>
      </c>
      <c r="E16" s="46" t="inlineStr">
        <is>
          <t>5 木作门窗</t>
        </is>
      </c>
      <c r="F16" s="46" t="inlineStr">
        <is>
          <t>复尺后定制</t>
        </is>
      </c>
      <c r="G16" s="46" t="inlineStr">
        <is>
          <t>第4-5个月</t>
        </is>
      </c>
      <c r="H16" s="190" t="n">
        <v>16000</v>
      </c>
      <c r="I16" s="190" t="n">
        <v>25000</v>
      </c>
      <c r="J16" s="190" t="n">
        <v>20000</v>
      </c>
      <c r="K16" s="46" t="inlineStr">
        <is>
          <t>本地石材/实木/钢木定制</t>
        </is>
      </c>
      <c r="L16" s="46" t="inlineStr">
        <is>
          <t>高</t>
        </is>
      </c>
      <c r="M16" s="46" t="inlineStr">
        <is>
          <t>未开始</t>
        </is>
      </c>
      <c r="N16" s="47" t="inlineStr">
        <is>
          <t>五层楼梯使用频率高，防滑和扶手手感重要</t>
        </is>
      </c>
      <c r="O16" t="n">
        <v>0</v>
      </c>
      <c r="P16" t="n">
        <v>0</v>
      </c>
      <c r="Q16" t="inlineStr"/>
    </row>
    <row r="17" ht="42" customHeight="1" s="184">
      <c r="A17" s="43" t="inlineStr">
        <is>
          <t>全屋</t>
        </is>
      </c>
      <c r="B17" s="46" t="inlineStr">
        <is>
          <t>主材</t>
        </is>
      </c>
      <c r="C17" s="46" t="inlineStr">
        <is>
          <t>美缝/踢脚线/窗台石/挡水条</t>
        </is>
      </c>
      <c r="D17" s="46" t="inlineStr">
        <is>
          <t>主材</t>
        </is>
      </c>
      <c r="E17" s="46" t="inlineStr">
        <is>
          <t>4-7 安装</t>
        </is>
      </c>
      <c r="F17" s="46" t="inlineStr">
        <is>
          <t>按节点买</t>
        </is>
      </c>
      <c r="G17" s="46" t="inlineStr">
        <is>
          <t>第3-6个月</t>
        </is>
      </c>
      <c r="H17" s="190" t="n">
        <v>8000</v>
      </c>
      <c r="I17" s="190" t="n">
        <v>15000</v>
      </c>
      <c r="J17" s="190" t="n">
        <v>10000</v>
      </c>
      <c r="K17" s="46" t="inlineStr">
        <is>
          <t>德高/马贝/潜水艇/本地石材</t>
        </is>
      </c>
      <c r="L17" s="46" t="inlineStr">
        <is>
          <t>中高</t>
        </is>
      </c>
      <c r="M17" s="46" t="inlineStr">
        <is>
          <t>未开始</t>
        </is>
      </c>
      <c r="N17" s="47" t="inlineStr">
        <is>
          <t>地漏、挡水条、门槛石要配合防水</t>
        </is>
      </c>
      <c r="O17" t="n">
        <v>0</v>
      </c>
      <c r="P17" t="n">
        <v>0</v>
      </c>
      <c r="Q17" t="inlineStr"/>
    </row>
    <row r="18" ht="42" customHeight="1" s="184">
      <c r="A18" s="43" t="inlineStr">
        <is>
          <t>全屋</t>
        </is>
      </c>
      <c r="B18" s="46" t="inlineStr">
        <is>
          <t>舒适系统</t>
        </is>
      </c>
      <c r="C18" s="46" t="inlineStr">
        <is>
          <t>中央空调系统</t>
        </is>
      </c>
      <c r="D18" s="46" t="inlineStr">
        <is>
          <t>系统</t>
        </is>
      </c>
      <c r="E18" s="46" t="inlineStr">
        <is>
          <t>0 开工前</t>
        </is>
      </c>
      <c r="F18" s="46" t="inlineStr">
        <is>
          <t>最早定/早进场</t>
        </is>
      </c>
      <c r="G18" s="46" t="inlineStr">
        <is>
          <t>开工前-第2个月</t>
        </is>
      </c>
      <c r="H18" s="190" t="n">
        <v>70000</v>
      </c>
      <c r="I18" s="190" t="n">
        <v>95000</v>
      </c>
      <c r="J18" s="190" t="n">
        <v>85000</v>
      </c>
      <c r="K18" s="46" t="inlineStr">
        <is>
          <t>大金/日立/三菱电机/格力/美的/海尔</t>
        </is>
      </c>
      <c r="L18" s="46" t="inlineStr">
        <is>
          <t>最高</t>
        </is>
      </c>
      <c r="M18" s="46" t="inlineStr">
        <is>
          <t>已支付</t>
        </is>
      </c>
      <c r="N18" s="47" t="inlineStr">
        <is>
          <t>影响吊顶、风口、冷凝水排水</t>
        </is>
      </c>
      <c r="O18" t="n">
        <v>80000</v>
      </c>
      <c r="P18" t="n">
        <v>0</v>
      </c>
      <c r="Q18" t="inlineStr"/>
    </row>
    <row r="19" ht="42" customHeight="1" s="184">
      <c r="A19" s="43" t="inlineStr">
        <is>
          <t>全屋</t>
        </is>
      </c>
      <c r="B19" s="46" t="inlineStr">
        <is>
          <t>舒适系统</t>
        </is>
      </c>
      <c r="C19" s="46" t="inlineStr">
        <is>
          <t>地暖系统含锅炉/管路</t>
        </is>
      </c>
      <c r="D19" s="46" t="inlineStr">
        <is>
          <t>系统</t>
        </is>
      </c>
      <c r="E19" s="46" t="inlineStr">
        <is>
          <t>0 开工前</t>
        </is>
      </c>
      <c r="F19" s="46" t="inlineStr">
        <is>
          <t>最早定/地面前施工</t>
        </is>
      </c>
      <c r="G19" s="46" t="inlineStr">
        <is>
          <t>第2-3个月</t>
        </is>
      </c>
      <c r="H19" s="190" t="n">
        <v>50000</v>
      </c>
      <c r="I19" s="190" t="n">
        <v>70000</v>
      </c>
      <c r="J19" s="190" t="n">
        <v>60000</v>
      </c>
      <c r="K19" s="46" t="inlineStr">
        <is>
          <t>威能/博世/菲斯曼/林内/伟星/日丰</t>
        </is>
      </c>
      <c r="L19" s="46" t="inlineStr">
        <is>
          <t>高</t>
        </is>
      </c>
      <c r="M19" s="46" t="inlineStr">
        <is>
          <t>未开始</t>
        </is>
      </c>
      <c r="N19" s="47" t="inlineStr">
        <is>
          <t>嘉兴冬天湿冷，地暖体感更好</t>
        </is>
      </c>
      <c r="O19" t="n">
        <v>0</v>
      </c>
      <c r="P19" t="n">
        <v>0</v>
      </c>
      <c r="Q19" t="inlineStr"/>
    </row>
    <row r="20" ht="42" customHeight="1" s="184">
      <c r="A20" s="43" t="inlineStr">
        <is>
          <t>全屋</t>
        </is>
      </c>
      <c r="B20" s="46" t="inlineStr">
        <is>
          <t>舒适系统</t>
        </is>
      </c>
      <c r="C20" s="46" t="inlineStr">
        <is>
          <t>新风系统</t>
        </is>
      </c>
      <c r="D20" s="46" t="inlineStr">
        <is>
          <t>系统</t>
        </is>
      </c>
      <c r="E20" s="46" t="inlineStr">
        <is>
          <t>0 开工前</t>
        </is>
      </c>
      <c r="F20" s="46" t="inlineStr">
        <is>
          <t>最早定/吊顶前施工</t>
        </is>
      </c>
      <c r="G20" s="46" t="inlineStr">
        <is>
          <t>第2-3个月</t>
        </is>
      </c>
      <c r="H20" s="190" t="n">
        <v>25000</v>
      </c>
      <c r="I20" s="190" t="n">
        <v>35000</v>
      </c>
      <c r="J20" s="190" t="n">
        <v>30000</v>
      </c>
      <c r="K20" s="46" t="inlineStr">
        <is>
          <t>松下/百朗/霍尼韦尔/兰舍/远大</t>
        </is>
      </c>
      <c r="L20" s="46" t="inlineStr">
        <is>
          <t>高</t>
        </is>
      </c>
      <c r="M20" s="46" t="inlineStr">
        <is>
          <t>已支付</t>
        </is>
      </c>
      <c r="N20" s="47" t="inlineStr">
        <is>
          <t>管道和出回风口要在吊顶前完成</t>
        </is>
      </c>
      <c r="O20" t="n">
        <v>25000</v>
      </c>
      <c r="P20" t="n">
        <v>0</v>
      </c>
      <c r="Q20" t="inlineStr"/>
    </row>
    <row r="21" ht="42" customHeight="1" s="184">
      <c r="A21" s="43" t="inlineStr">
        <is>
          <t>B1/B2地下室</t>
        </is>
      </c>
      <c r="B21" s="46" t="inlineStr">
        <is>
          <t>舒适系统</t>
        </is>
      </c>
      <c r="C21" s="46" t="inlineStr">
        <is>
          <t>地下室独立除湿系统</t>
        </is>
      </c>
      <c r="D21" s="46" t="inlineStr">
        <is>
          <t>系统</t>
        </is>
      </c>
      <c r="E21" s="46" t="inlineStr">
        <is>
          <t>0 开工前</t>
        </is>
      </c>
      <c r="F21" s="46" t="inlineStr">
        <is>
          <t>最早定/吊顶前施工</t>
        </is>
      </c>
      <c r="G21" s="46" t="inlineStr">
        <is>
          <t>第2-3个月</t>
        </is>
      </c>
      <c r="H21" s="190" t="n">
        <v>30000</v>
      </c>
      <c r="I21" s="190" t="n">
        <v>45000</v>
      </c>
      <c r="J21" s="190" t="n">
        <v>35000</v>
      </c>
      <c r="K21" s="46" t="inlineStr">
        <is>
          <t>德业/松井/浦力适/美的/格力</t>
        </is>
      </c>
      <c r="L21" s="46" t="inlineStr">
        <is>
          <t>最高</t>
        </is>
      </c>
      <c r="M21" s="46" t="inlineStr">
        <is>
          <t>未开始</t>
        </is>
      </c>
      <c r="N21" s="47" t="inlineStr">
        <is>
          <t>地下室不要只靠空调除湿，最好接排水</t>
        </is>
      </c>
      <c r="O21" t="n">
        <v>0</v>
      </c>
      <c r="P21" t="n">
        <v>0</v>
      </c>
      <c r="Q21" t="inlineStr"/>
    </row>
    <row r="22" ht="42" customHeight="1" s="184">
      <c r="A22" s="43" t="inlineStr">
        <is>
          <t>全屋</t>
        </is>
      </c>
      <c r="B22" s="46" t="inlineStr">
        <is>
          <t>舒适系统</t>
        </is>
      </c>
      <c r="C22" s="46" t="inlineStr">
        <is>
          <t>水处理/热水循环</t>
        </is>
      </c>
      <c r="D22" s="46" t="inlineStr">
        <is>
          <t>系统</t>
        </is>
      </c>
      <c r="E22" s="46" t="inlineStr">
        <is>
          <t>2 水电</t>
        </is>
      </c>
      <c r="F22" s="46" t="inlineStr">
        <is>
          <t>水电前定</t>
        </is>
      </c>
      <c r="G22" s="46" t="inlineStr">
        <is>
          <t>第2个月</t>
        </is>
      </c>
      <c r="H22" s="190" t="n">
        <v>15000</v>
      </c>
      <c r="I22" s="190" t="n">
        <v>25000</v>
      </c>
      <c r="J22" s="190" t="n">
        <v>20000</v>
      </c>
      <c r="K22" s="46" t="inlineStr">
        <is>
          <t>3M/A.O.史密斯/滨特尔/沁园/安吉尔</t>
        </is>
      </c>
      <c r="L22" s="46" t="inlineStr">
        <is>
          <t>中高</t>
        </is>
      </c>
      <c r="M22" s="46" t="inlineStr">
        <is>
          <t>未开始</t>
        </is>
      </c>
      <c r="N22" s="47" t="inlineStr">
        <is>
          <t>至少做前置过滤、厨房净水、热水循环预留</t>
        </is>
      </c>
      <c r="O22" t="n">
        <v>0</v>
      </c>
      <c r="P22" t="n">
        <v>0</v>
      </c>
      <c r="Q22" t="inlineStr"/>
    </row>
    <row r="23" ht="42" customHeight="1" s="184">
      <c r="A23" s="43" t="inlineStr">
        <is>
          <t>全屋</t>
        </is>
      </c>
      <c r="B23" s="46" t="inlineStr">
        <is>
          <t>家用电梯</t>
        </is>
      </c>
      <c r="C23" s="46" t="inlineStr">
        <is>
          <t>电梯本体</t>
        </is>
      </c>
      <c r="D23" s="46" t="inlineStr">
        <is>
          <t>系统</t>
        </is>
      </c>
      <c r="E23" s="46" t="inlineStr">
        <is>
          <t>0 开工前</t>
        </is>
      </c>
      <c r="F23" s="46" t="inlineStr">
        <is>
          <t>最早定</t>
        </is>
      </c>
      <c r="G23" s="46" t="inlineStr">
        <is>
          <t>开工前1-2个月</t>
        </is>
      </c>
      <c r="H23" s="190" t="n">
        <v>90000</v>
      </c>
      <c r="I23" s="190" t="n">
        <v>120000</v>
      </c>
      <c r="J23" s="190" t="n">
        <v>105000</v>
      </c>
      <c r="K23" s="46" t="inlineStr">
        <is>
          <t>通力/迅达/蒂升/奥的斯/西奥/康力/东南</t>
        </is>
      </c>
      <c r="L23" s="46" t="inlineStr">
        <is>
          <t>最高</t>
        </is>
      </c>
      <c r="M23" s="46" t="inlineStr">
        <is>
          <t>未开始</t>
        </is>
      </c>
      <c r="N23" s="47" t="inlineStr">
        <is>
          <t>五层建议曳引式基础观光款，重视维保</t>
        </is>
      </c>
      <c r="O23" t="n">
        <v>0</v>
      </c>
      <c r="P23" t="n">
        <v>0</v>
      </c>
      <c r="Q23" t="inlineStr"/>
    </row>
    <row r="24" ht="42" customHeight="1" s="184">
      <c r="A24" s="43" t="inlineStr">
        <is>
          <t>全屋</t>
        </is>
      </c>
      <c r="B24" s="46" t="inlineStr">
        <is>
          <t>家用电梯</t>
        </is>
      </c>
      <c r="C24" s="46" t="inlineStr">
        <is>
          <t>电梯安装调试</t>
        </is>
      </c>
      <c r="D24" s="46" t="inlineStr">
        <is>
          <t>系统</t>
        </is>
      </c>
      <c r="E24" s="46" t="inlineStr">
        <is>
          <t>7 安装</t>
        </is>
      </c>
      <c r="F24" s="46" t="inlineStr">
        <is>
          <t>按合同节点</t>
        </is>
      </c>
      <c r="G24" s="46" t="inlineStr">
        <is>
          <t>第5-7个月</t>
        </is>
      </c>
      <c r="H24" s="190" t="n">
        <v>15000</v>
      </c>
      <c r="I24" s="190" t="n">
        <v>25000</v>
      </c>
      <c r="J24" s="190" t="n">
        <v>20000</v>
      </c>
      <c r="K24" s="46" t="inlineStr">
        <is>
          <t>同电梯供应商</t>
        </is>
      </c>
      <c r="L24" s="46" t="inlineStr">
        <is>
          <t>最高</t>
        </is>
      </c>
      <c r="M24" s="46" t="inlineStr">
        <is>
          <t>未开始</t>
        </is>
      </c>
      <c r="N24" s="47" t="inlineStr">
        <is>
          <t>确认停电救援、噪音、质保、年检</t>
        </is>
      </c>
      <c r="O24" t="n">
        <v>0</v>
      </c>
      <c r="P24" t="n">
        <v>0</v>
      </c>
      <c r="Q24" t="inlineStr"/>
    </row>
    <row r="25" ht="42" customHeight="1" s="184">
      <c r="A25" s="43" t="inlineStr">
        <is>
          <t>全屋</t>
        </is>
      </c>
      <c r="B25" s="46" t="inlineStr">
        <is>
          <t>家用电梯</t>
        </is>
      </c>
      <c r="C25" s="46" t="inlineStr">
        <is>
          <t>井道/门套/基础处理</t>
        </is>
      </c>
      <c r="D25" s="46" t="inlineStr">
        <is>
          <t>硬装</t>
        </is>
      </c>
      <c r="E25" s="46" t="inlineStr">
        <is>
          <t>1 拆改土建</t>
        </is>
      </c>
      <c r="F25" s="46" t="inlineStr">
        <is>
          <t>先做</t>
        </is>
      </c>
      <c r="G25" s="46" t="inlineStr">
        <is>
          <t>第1-3个月</t>
        </is>
      </c>
      <c r="H25" s="190" t="n">
        <v>8000</v>
      </c>
      <c r="I25" s="190" t="n">
        <v>15000</v>
      </c>
      <c r="J25" s="190" t="n">
        <v>10000</v>
      </c>
      <c r="K25" s="46" t="inlineStr">
        <is>
          <t>施工方+电梯商协同</t>
        </is>
      </c>
      <c r="L25" s="46" t="inlineStr">
        <is>
          <t>最高</t>
        </is>
      </c>
      <c r="M25" s="46" t="inlineStr">
        <is>
          <t>未开始</t>
        </is>
      </c>
      <c r="N25" s="47" t="inlineStr">
        <is>
          <t>井道尺寸、底坑、顶层高度不能错</t>
        </is>
      </c>
      <c r="O25" t="n">
        <v>0</v>
      </c>
      <c r="P25" t="n">
        <v>0</v>
      </c>
      <c r="Q25" t="inlineStr"/>
    </row>
    <row r="26" ht="42" customHeight="1" s="184">
      <c r="A26" s="43" t="inlineStr">
        <is>
          <t>全屋</t>
        </is>
      </c>
      <c r="B26" s="46" t="inlineStr">
        <is>
          <t>家用电梯</t>
        </is>
      </c>
      <c r="C26" s="46" t="inlineStr">
        <is>
          <t>维保/年检预留</t>
        </is>
      </c>
      <c r="D26" s="46" t="inlineStr">
        <is>
          <t>系统</t>
        </is>
      </c>
      <c r="E26" s="46" t="inlineStr">
        <is>
          <t>8 入住前后</t>
        </is>
      </c>
      <c r="F26" s="46" t="inlineStr">
        <is>
          <t>预留</t>
        </is>
      </c>
      <c r="G26" s="46" t="inlineStr">
        <is>
          <t>入住前后</t>
        </is>
      </c>
      <c r="H26" s="190" t="n">
        <v>3000</v>
      </c>
      <c r="I26" s="190" t="n">
        <v>8000</v>
      </c>
      <c r="J26" s="190" t="n">
        <v>5000</v>
      </c>
      <c r="K26" s="46" t="inlineStr">
        <is>
          <t>本地维保网点优先</t>
        </is>
      </c>
      <c r="L26" s="46" t="inlineStr">
        <is>
          <t>高</t>
        </is>
      </c>
      <c r="M26" s="46" t="inlineStr">
        <is>
          <t>未开始</t>
        </is>
      </c>
      <c r="N26" s="47" t="inlineStr">
        <is>
          <t>电梯不要买低价杂牌，后期维保更重要</t>
        </is>
      </c>
      <c r="O26" t="n">
        <v>0</v>
      </c>
      <c r="P26" t="n">
        <v>0</v>
      </c>
      <c r="Q26" t="inlineStr"/>
    </row>
    <row r="27" ht="42" customHeight="1" s="184">
      <c r="A27" s="43" t="inlineStr">
        <is>
          <t>1F厨房</t>
        </is>
      </c>
      <c r="B27" s="46" t="inlineStr">
        <is>
          <t>全屋定制</t>
        </is>
      </c>
      <c r="C27" s="46" t="inlineStr">
        <is>
          <t>厨房橱柜/台面/高柜</t>
        </is>
      </c>
      <c r="D27" s="46" t="inlineStr">
        <is>
          <t>定制</t>
        </is>
      </c>
      <c r="E27" s="46" t="inlineStr">
        <is>
          <t>2 水电/5 复尺</t>
        </is>
      </c>
      <c r="F27" s="46" t="inlineStr">
        <is>
          <t>水电前出图，复尺后下单</t>
        </is>
      </c>
      <c r="G27" s="46" t="inlineStr">
        <is>
          <t>第2-5个月</t>
        </is>
      </c>
      <c r="H27" s="190" t="n">
        <v>30000</v>
      </c>
      <c r="I27" s="190" t="n">
        <v>45000</v>
      </c>
      <c r="J27" s="190" t="n">
        <v>35000</v>
      </c>
      <c r="K27" s="46" t="inlineStr">
        <is>
          <t>志邦/金牌/欧派/本地工厂+百隆/海蒂诗</t>
        </is>
      </c>
      <c r="L27" s="46" t="inlineStr">
        <is>
          <t>高</t>
        </is>
      </c>
      <c r="M27" s="46" t="inlineStr">
        <is>
          <t>未开始</t>
        </is>
      </c>
      <c r="N27" s="47" t="inlineStr">
        <is>
          <t>厨电尺寸必须提前给橱柜商</t>
        </is>
      </c>
      <c r="O27" t="n">
        <v>0</v>
      </c>
      <c r="P27" t="n">
        <v>0</v>
      </c>
      <c r="Q27" t="inlineStr"/>
    </row>
    <row r="28" ht="42" customHeight="1" s="184">
      <c r="A28" s="43" t="inlineStr">
        <is>
          <t>1F玄关餐厅</t>
        </is>
      </c>
      <c r="B28" s="46" t="inlineStr">
        <is>
          <t>全屋定制</t>
        </is>
      </c>
      <c r="C28" s="46" t="inlineStr">
        <is>
          <t>鞋柜/餐边柜</t>
        </is>
      </c>
      <c r="D28" s="46" t="inlineStr">
        <is>
          <t>定制</t>
        </is>
      </c>
      <c r="E28" s="46" t="inlineStr">
        <is>
          <t>5 复尺</t>
        </is>
      </c>
      <c r="F28" s="46" t="inlineStr">
        <is>
          <t>复尺后下单</t>
        </is>
      </c>
      <c r="G28" s="46" t="inlineStr">
        <is>
          <t>第5个月</t>
        </is>
      </c>
      <c r="H28" s="190" t="n">
        <v>16000</v>
      </c>
      <c r="I28" s="190" t="n">
        <v>25000</v>
      </c>
      <c r="J28" s="190" t="n">
        <v>20000</v>
      </c>
      <c r="K28" s="46" t="inlineStr">
        <is>
          <t>索菲亚/欧派/兔宝宝/千年舟/本地工厂</t>
        </is>
      </c>
      <c r="L28" s="46" t="inlineStr">
        <is>
          <t>中高</t>
        </is>
      </c>
      <c r="M28" s="46" t="inlineStr">
        <is>
          <t>未开始</t>
        </is>
      </c>
      <c r="N28" s="47" t="inlineStr">
        <is>
          <t>入户收纳和餐边柜要留插座</t>
        </is>
      </c>
      <c r="O28" t="n">
        <v>0</v>
      </c>
      <c r="P28" t="n">
        <v>0</v>
      </c>
      <c r="Q28" t="inlineStr"/>
    </row>
    <row r="29" ht="42" customHeight="1" s="184">
      <c r="A29" s="43" t="inlineStr">
        <is>
          <t>2F/3F卧室</t>
        </is>
      </c>
      <c r="B29" s="46" t="inlineStr">
        <is>
          <t>全屋定制</t>
        </is>
      </c>
      <c r="C29" s="46" t="inlineStr">
        <is>
          <t>卧室衣柜</t>
        </is>
      </c>
      <c r="D29" s="46" t="inlineStr">
        <is>
          <t>定制</t>
        </is>
      </c>
      <c r="E29" s="46" t="inlineStr">
        <is>
          <t>5 复尺</t>
        </is>
      </c>
      <c r="F29" s="46" t="inlineStr">
        <is>
          <t>复尺后下单</t>
        </is>
      </c>
      <c r="G29" s="46" t="inlineStr">
        <is>
          <t>第5个月</t>
        </is>
      </c>
      <c r="H29" s="190" t="n">
        <v>35000</v>
      </c>
      <c r="I29" s="190" t="n">
        <v>50000</v>
      </c>
      <c r="J29" s="190" t="n">
        <v>40000</v>
      </c>
      <c r="K29" s="46" t="inlineStr">
        <is>
          <t>索菲亚/欧派/兔宝宝/千年舟/露水河</t>
        </is>
      </c>
      <c r="L29" s="46" t="inlineStr">
        <is>
          <t>高</t>
        </is>
      </c>
      <c r="M29" s="46" t="inlineStr">
        <is>
          <t>未开始</t>
        </is>
      </c>
      <c r="N29" s="47" t="inlineStr">
        <is>
          <t>板材环保和五金比造型更重要</t>
        </is>
      </c>
      <c r="O29" t="n">
        <v>0</v>
      </c>
      <c r="P29" t="n">
        <v>0</v>
      </c>
      <c r="Q29" t="inlineStr"/>
    </row>
    <row r="30" ht="42" customHeight="1" s="184">
      <c r="A30" s="43" t="inlineStr">
        <is>
          <t>3F主卧</t>
        </is>
      </c>
      <c r="B30" s="46" t="inlineStr">
        <is>
          <t>全屋定制</t>
        </is>
      </c>
      <c r="C30" s="46" t="inlineStr">
        <is>
          <t>主卧衣帽/成品衣柜</t>
        </is>
      </c>
      <c r="D30" s="46" t="inlineStr">
        <is>
          <t>定制</t>
        </is>
      </c>
      <c r="E30" s="46" t="inlineStr">
        <is>
          <t>5 复尺</t>
        </is>
      </c>
      <c r="F30" s="46" t="inlineStr">
        <is>
          <t>复尺后下单</t>
        </is>
      </c>
      <c r="G30" s="46" t="inlineStr">
        <is>
          <t>第5个月</t>
        </is>
      </c>
      <c r="H30" s="190" t="n">
        <v>16000</v>
      </c>
      <c r="I30" s="190" t="n">
        <v>30000</v>
      </c>
      <c r="J30" s="190" t="n">
        <v>20000</v>
      </c>
      <c r="K30" s="46" t="inlineStr">
        <is>
          <t>索菲亚/欧派/本地工厂+好五金</t>
        </is>
      </c>
      <c r="L30" s="46" t="inlineStr">
        <is>
          <t>高</t>
        </is>
      </c>
      <c r="M30" s="46" t="inlineStr">
        <is>
          <t>未开始</t>
        </is>
      </c>
      <c r="N30" s="47" t="inlineStr">
        <is>
          <t>抽屉、挂衣、灯带要提前设计</t>
        </is>
      </c>
      <c r="O30" t="n">
        <v>0</v>
      </c>
      <c r="P30" t="n">
        <v>0</v>
      </c>
      <c r="Q30" t="inlineStr"/>
    </row>
    <row r="31" ht="42" customHeight="1" s="184">
      <c r="A31" s="43" t="inlineStr">
        <is>
          <t>卫浴</t>
        </is>
      </c>
      <c r="B31" s="46" t="inlineStr">
        <is>
          <t>全屋定制</t>
        </is>
      </c>
      <c r="C31" s="46" t="inlineStr">
        <is>
          <t>浴室柜</t>
        </is>
      </c>
      <c r="D31" s="46" t="inlineStr">
        <is>
          <t>定制</t>
        </is>
      </c>
      <c r="E31" s="46" t="inlineStr">
        <is>
          <t>6-7 安装</t>
        </is>
      </c>
      <c r="F31" s="46" t="inlineStr">
        <is>
          <t>墙地面后安装</t>
        </is>
      </c>
      <c r="G31" s="46" t="inlineStr">
        <is>
          <t>第6个月</t>
        </is>
      </c>
      <c r="H31" s="190" t="n">
        <v>8000</v>
      </c>
      <c r="I31" s="190" t="n">
        <v>15000</v>
      </c>
      <c r="J31" s="190" t="n">
        <v>10000</v>
      </c>
      <c r="K31" s="46" t="inlineStr">
        <is>
          <t>九牧/恒洁/箭牌/科勒/本地定制</t>
        </is>
      </c>
      <c r="L31" s="46" t="inlineStr">
        <is>
          <t>中高</t>
        </is>
      </c>
      <c r="M31" s="46" t="inlineStr">
        <is>
          <t>未开始</t>
        </is>
      </c>
      <c r="N31" s="47" t="inlineStr">
        <is>
          <t>防潮板材，台盆和下水尺寸配合</t>
        </is>
      </c>
      <c r="O31" t="n">
        <v>0</v>
      </c>
      <c r="P31" t="n">
        <v>0</v>
      </c>
      <c r="Q31" t="inlineStr"/>
    </row>
    <row r="32" ht="42" customHeight="1" s="184">
      <c r="A32" s="43" t="inlineStr">
        <is>
          <t>B1/B2地下室</t>
        </is>
      </c>
      <c r="B32" s="46" t="inlineStr">
        <is>
          <t>全屋定制</t>
        </is>
      </c>
      <c r="C32" s="46" t="inlineStr">
        <is>
          <t>茶水柜/吧台柜/储物柜</t>
        </is>
      </c>
      <c r="D32" s="46" t="inlineStr">
        <is>
          <t>定制</t>
        </is>
      </c>
      <c r="E32" s="46" t="inlineStr">
        <is>
          <t>5 复尺</t>
        </is>
      </c>
      <c r="F32" s="46" t="inlineStr">
        <is>
          <t>复尺后下单</t>
        </is>
      </c>
      <c r="G32" s="46" t="inlineStr">
        <is>
          <t>第5-6个月</t>
        </is>
      </c>
      <c r="H32" s="190" t="n">
        <v>8000</v>
      </c>
      <c r="I32" s="190" t="n">
        <v>18000</v>
      </c>
      <c r="J32" s="190" t="n">
        <v>10000</v>
      </c>
      <c r="K32" s="46" t="inlineStr">
        <is>
          <t>金属架/铝框玻璃/防潮柜/本地定制</t>
        </is>
      </c>
      <c r="L32" s="46" t="inlineStr">
        <is>
          <t>中高</t>
        </is>
      </c>
      <c r="M32" s="46" t="inlineStr">
        <is>
          <t>未开始</t>
        </is>
      </c>
      <c r="N32" s="47" t="inlineStr">
        <is>
          <t>地下室柜体避免普通颗粒板直接落地</t>
        </is>
      </c>
      <c r="O32" t="n">
        <v>0</v>
      </c>
      <c r="P32" t="n">
        <v>0</v>
      </c>
      <c r="Q32" t="inlineStr"/>
    </row>
    <row r="33" ht="42" customHeight="1" s="184">
      <c r="A33" s="43" t="inlineStr">
        <is>
          <t>1F厨房</t>
        </is>
      </c>
      <c r="B33" s="46" t="inlineStr">
        <is>
          <t>厨房+洗衣家电</t>
        </is>
      </c>
      <c r="C33" s="46" t="inlineStr">
        <is>
          <t>烟机灶具</t>
        </is>
      </c>
      <c r="D33" s="46" t="inlineStr">
        <is>
          <t>家电</t>
        </is>
      </c>
      <c r="E33" s="46" t="inlineStr">
        <is>
          <t>2 水电</t>
        </is>
      </c>
      <c r="F33" s="46" t="inlineStr">
        <is>
          <t>水电前定尺寸，柜体后安装</t>
        </is>
      </c>
      <c r="G33" s="46" t="inlineStr">
        <is>
          <t>第2月定/第7月装</t>
        </is>
      </c>
      <c r="H33" s="190" t="n">
        <v>8000</v>
      </c>
      <c r="I33" s="190" t="n">
        <v>15000</v>
      </c>
      <c r="J33" s="190" t="n">
        <v>10000</v>
      </c>
      <c r="K33" s="46" t="inlineStr">
        <is>
          <t>方太/老板/华帝</t>
        </is>
      </c>
      <c r="L33" s="46" t="inlineStr">
        <is>
          <t>高</t>
        </is>
      </c>
      <c r="M33" s="46" t="inlineStr">
        <is>
          <t>未开始</t>
        </is>
      </c>
      <c r="N33" s="47" t="inlineStr">
        <is>
          <t>烟道、插座、燃气位置先定</t>
        </is>
      </c>
      <c r="O33" t="n">
        <v>0</v>
      </c>
      <c r="P33" t="n">
        <v>0</v>
      </c>
      <c r="Q33" t="inlineStr"/>
    </row>
    <row r="34" ht="42" customHeight="1" s="184">
      <c r="A34" s="43" t="inlineStr">
        <is>
          <t>1F厨房</t>
        </is>
      </c>
      <c r="B34" s="46" t="inlineStr">
        <is>
          <t>厨房+洗衣家电</t>
        </is>
      </c>
      <c r="C34" s="46" t="inlineStr">
        <is>
          <t>洗碗机</t>
        </is>
      </c>
      <c r="D34" s="46" t="inlineStr">
        <is>
          <t>家电</t>
        </is>
      </c>
      <c r="E34" s="46" t="inlineStr">
        <is>
          <t>2 水电</t>
        </is>
      </c>
      <c r="F34" s="46" t="inlineStr">
        <is>
          <t>水电前定尺寸，柜体后安装</t>
        </is>
      </c>
      <c r="G34" s="46" t="inlineStr">
        <is>
          <t>第2月定/第7月装</t>
        </is>
      </c>
      <c r="H34" s="190" t="n">
        <v>6000</v>
      </c>
      <c r="I34" s="190" t="n">
        <v>12000</v>
      </c>
      <c r="J34" s="190" t="n">
        <v>8000</v>
      </c>
      <c r="K34" s="46" t="inlineStr">
        <is>
          <t>西门子/博世/美的/方太</t>
        </is>
      </c>
      <c r="L34" s="46" t="inlineStr">
        <is>
          <t>高</t>
        </is>
      </c>
      <c r="M34" s="46" t="inlineStr">
        <is>
          <t>未开始</t>
        </is>
      </c>
      <c r="N34" s="47" t="inlineStr">
        <is>
          <t>影响橱柜尺寸、上下水和插座</t>
        </is>
      </c>
      <c r="O34" t="n">
        <v>0</v>
      </c>
      <c r="P34" t="n">
        <v>0</v>
      </c>
      <c r="Q34" t="inlineStr"/>
    </row>
    <row r="35" ht="42" customHeight="1" s="184">
      <c r="A35" s="43" t="inlineStr">
        <is>
          <t>1F厨房</t>
        </is>
      </c>
      <c r="B35" s="46" t="inlineStr">
        <is>
          <t>厨房+洗衣家电</t>
        </is>
      </c>
      <c r="C35" s="46" t="inlineStr">
        <is>
          <t>蒸烤箱/蒸烤一体</t>
        </is>
      </c>
      <c r="D35" s="46" t="inlineStr">
        <is>
          <t>家电</t>
        </is>
      </c>
      <c r="E35" s="46" t="inlineStr">
        <is>
          <t>2 水电</t>
        </is>
      </c>
      <c r="F35" s="46" t="inlineStr">
        <is>
          <t>水电前定尺寸，柜体后安装</t>
        </is>
      </c>
      <c r="G35" s="46" t="inlineStr">
        <is>
          <t>第2月定/第7月装</t>
        </is>
      </c>
      <c r="H35" s="190" t="n">
        <v>7000</v>
      </c>
      <c r="I35" s="190" t="n">
        <v>15000</v>
      </c>
      <c r="J35" s="190" t="n">
        <v>9000</v>
      </c>
      <c r="K35" s="46" t="inlineStr">
        <is>
          <t>西门子/博世/方太/美的</t>
        </is>
      </c>
      <c r="L35" s="46" t="inlineStr">
        <is>
          <t>中高</t>
        </is>
      </c>
      <c r="M35" s="46" t="inlineStr">
        <is>
          <t>未开始</t>
        </is>
      </c>
      <c r="N35" s="47" t="inlineStr">
        <is>
          <t>嵌入式高柜尺寸不能后改</t>
        </is>
      </c>
      <c r="O35" t="n">
        <v>0</v>
      </c>
      <c r="P35" t="n">
        <v>0</v>
      </c>
      <c r="Q35" t="inlineStr"/>
    </row>
    <row r="36" ht="42" customHeight="1" s="184">
      <c r="A36" s="43" t="inlineStr">
        <is>
          <t>1F厨房</t>
        </is>
      </c>
      <c r="B36" s="46" t="inlineStr">
        <is>
          <t>厨房+洗衣家电</t>
        </is>
      </c>
      <c r="C36" s="46" t="inlineStr">
        <is>
          <t>冰箱</t>
        </is>
      </c>
      <c r="D36" s="46" t="inlineStr">
        <is>
          <t>家电</t>
        </is>
      </c>
      <c r="E36" s="46" t="inlineStr">
        <is>
          <t>2 水电</t>
        </is>
      </c>
      <c r="F36" s="46" t="inlineStr">
        <is>
          <t>水电前定尺寸，后期进场</t>
        </is>
      </c>
      <c r="G36" s="46" t="inlineStr">
        <is>
          <t>第2月定/第7月进场</t>
        </is>
      </c>
      <c r="H36" s="190" t="n">
        <v>8000</v>
      </c>
      <c r="I36" s="190" t="n">
        <v>16000</v>
      </c>
      <c r="J36" s="190" t="n">
        <v>12000</v>
      </c>
      <c r="K36" s="46" t="inlineStr">
        <is>
          <t>卡萨帝/海尔/西门子/松下/美的</t>
        </is>
      </c>
      <c r="L36" s="46" t="inlineStr">
        <is>
          <t>高</t>
        </is>
      </c>
      <c r="M36" s="46" t="inlineStr">
        <is>
          <t>未开始</t>
        </is>
      </c>
      <c r="N36" s="47" t="inlineStr">
        <is>
          <t>预留散热、宽度、深度和插座</t>
        </is>
      </c>
      <c r="O36" t="n">
        <v>0</v>
      </c>
      <c r="P36" t="n">
        <v>0</v>
      </c>
      <c r="Q36" t="inlineStr"/>
    </row>
    <row r="37" ht="42" customHeight="1" s="184">
      <c r="A37" s="43" t="inlineStr">
        <is>
          <t>3F洗衣区</t>
        </is>
      </c>
      <c r="B37" s="46" t="inlineStr">
        <is>
          <t>厨房+洗衣家电</t>
        </is>
      </c>
      <c r="C37" s="46" t="inlineStr">
        <is>
          <t>洗烘套装</t>
        </is>
      </c>
      <c r="D37" s="46" t="inlineStr">
        <is>
          <t>家电</t>
        </is>
      </c>
      <c r="E37" s="46" t="inlineStr">
        <is>
          <t>2 水电</t>
        </is>
      </c>
      <c r="F37" s="46" t="inlineStr">
        <is>
          <t>水电前定尺寸，后期安装</t>
        </is>
      </c>
      <c r="G37" s="46" t="inlineStr">
        <is>
          <t>第2月定/第7月装</t>
        </is>
      </c>
      <c r="H37" s="190" t="n">
        <v>8000</v>
      </c>
      <c r="I37" s="190" t="n">
        <v>16000</v>
      </c>
      <c r="J37" s="190" t="n">
        <v>12000</v>
      </c>
      <c r="K37" s="46" t="inlineStr">
        <is>
          <t>西门子/博世/LG/小天鹅/松下</t>
        </is>
      </c>
      <c r="L37" s="46" t="inlineStr">
        <is>
          <t>高</t>
        </is>
      </c>
      <c r="M37" s="46" t="inlineStr">
        <is>
          <t>未开始</t>
        </is>
      </c>
      <c r="N37" s="47" t="inlineStr">
        <is>
          <t>建议洗烘套装，不建议只买洗烘一体</t>
        </is>
      </c>
      <c r="O37" t="n">
        <v>0</v>
      </c>
      <c r="P37" t="n">
        <v>0</v>
      </c>
      <c r="Q37" t="inlineStr"/>
    </row>
    <row r="38" ht="42" customHeight="1" s="184">
      <c r="A38" s="43" t="inlineStr">
        <is>
          <t>厨房/全屋</t>
        </is>
      </c>
      <c r="B38" s="46" t="inlineStr">
        <is>
          <t>厨房+洗衣家电</t>
        </is>
      </c>
      <c r="C38" s="46" t="inlineStr">
        <is>
          <t>小厨电/补充净水设备</t>
        </is>
      </c>
      <c r="D38" s="46" t="inlineStr">
        <is>
          <t>家电</t>
        </is>
      </c>
      <c r="E38" s="46" t="inlineStr">
        <is>
          <t>7 安装</t>
        </is>
      </c>
      <c r="F38" s="46" t="inlineStr">
        <is>
          <t>后期买</t>
        </is>
      </c>
      <c r="G38" s="46" t="inlineStr">
        <is>
          <t>第7个月</t>
        </is>
      </c>
      <c r="H38" s="190" t="n">
        <v>3000</v>
      </c>
      <c r="I38" s="190" t="n">
        <v>6000</v>
      </c>
      <c r="J38" s="190" t="n">
        <v>4000</v>
      </c>
      <c r="K38" s="46" t="inlineStr">
        <is>
          <t>3M/A.O.史密斯/安吉尔/沁园</t>
        </is>
      </c>
      <c r="L38" s="46" t="inlineStr">
        <is>
          <t>中</t>
        </is>
      </c>
      <c r="M38" s="46" t="inlineStr">
        <is>
          <t>未开始</t>
        </is>
      </c>
      <c r="N38" s="47" t="inlineStr">
        <is>
          <t>小家电不要太早囤货</t>
        </is>
      </c>
      <c r="O38" t="n">
        <v>0</v>
      </c>
      <c r="P38" t="n">
        <v>0</v>
      </c>
      <c r="Q38" t="inlineStr"/>
    </row>
    <row r="39" ht="42" customHeight="1" s="184">
      <c r="A39" s="43" t="inlineStr">
        <is>
          <t>3F主卫</t>
        </is>
      </c>
      <c r="B39" s="46" t="inlineStr">
        <is>
          <t>卫浴洁具五金</t>
        </is>
      </c>
      <c r="C39" s="46" t="inlineStr">
        <is>
          <t>主卫洁具套装</t>
        </is>
      </c>
      <c r="D39" s="46" t="inlineStr">
        <is>
          <t>卫浴</t>
        </is>
      </c>
      <c r="E39" s="46" t="inlineStr">
        <is>
          <t>2 水电</t>
        </is>
      </c>
      <c r="F39" s="46" t="inlineStr">
        <is>
          <t>水电前定坑距/尺寸，后期安装</t>
        </is>
      </c>
      <c r="G39" s="46" t="inlineStr">
        <is>
          <t>第2月定/第6-7月装</t>
        </is>
      </c>
      <c r="H39" s="190" t="n">
        <v>18000</v>
      </c>
      <c r="I39" s="190" t="n">
        <v>28000</v>
      </c>
      <c r="J39" s="190" t="n">
        <v>22000</v>
      </c>
      <c r="K39" s="46" t="inlineStr">
        <is>
          <t>TOTO/科勒/汉斯格雅/高仪/九牧</t>
        </is>
      </c>
      <c r="L39" s="46" t="inlineStr">
        <is>
          <t>高</t>
        </is>
      </c>
      <c r="M39" s="46" t="inlineStr">
        <is>
          <t>未开始</t>
        </is>
      </c>
      <c r="N39" s="47" t="inlineStr">
        <is>
          <t>主卫可以中高配，马桶坑距和花洒高度先定</t>
        </is>
      </c>
      <c r="O39" t="n">
        <v>0</v>
      </c>
      <c r="P39" t="n">
        <v>0</v>
      </c>
      <c r="Q39" t="inlineStr"/>
    </row>
    <row r="40" ht="42" customHeight="1" s="184">
      <c r="A40" s="43" t="inlineStr">
        <is>
          <t>2F次卫</t>
        </is>
      </c>
      <c r="B40" s="46" t="inlineStr">
        <is>
          <t>卫浴洁具五金</t>
        </is>
      </c>
      <c r="C40" s="46" t="inlineStr">
        <is>
          <t>次卫洁具套装</t>
        </is>
      </c>
      <c r="D40" s="46" t="inlineStr">
        <is>
          <t>卫浴</t>
        </is>
      </c>
      <c r="E40" s="46" t="inlineStr">
        <is>
          <t>2 水电</t>
        </is>
      </c>
      <c r="F40" s="46" t="inlineStr">
        <is>
          <t>水电前定坑距/尺寸</t>
        </is>
      </c>
      <c r="G40" s="46" t="inlineStr">
        <is>
          <t>第2月定/第6-7月装</t>
        </is>
      </c>
      <c r="H40" s="190" t="n">
        <v>12000</v>
      </c>
      <c r="I40" s="190" t="n">
        <v>20000</v>
      </c>
      <c r="J40" s="190" t="n">
        <v>16000</v>
      </c>
      <c r="K40" s="46" t="inlineStr">
        <is>
          <t>九牧/恒洁/箭牌/法恩莎/科勒</t>
        </is>
      </c>
      <c r="L40" s="46" t="inlineStr">
        <is>
          <t>高</t>
        </is>
      </c>
      <c r="M40" s="46" t="inlineStr">
        <is>
          <t>未开始</t>
        </is>
      </c>
      <c r="N40" s="47" t="inlineStr">
        <is>
          <t>国产中高配即可</t>
        </is>
      </c>
      <c r="O40" t="n">
        <v>0</v>
      </c>
      <c r="P40" t="n">
        <v>0</v>
      </c>
      <c r="Q40" t="inlineStr"/>
    </row>
    <row r="41" ht="42" customHeight="1" s="184">
      <c r="A41" s="43" t="inlineStr">
        <is>
          <t>1F/B1公卫</t>
        </is>
      </c>
      <c r="B41" s="46" t="inlineStr">
        <is>
          <t>卫浴洁具五金</t>
        </is>
      </c>
      <c r="C41" s="46" t="inlineStr">
        <is>
          <t>公卫洁具套装</t>
        </is>
      </c>
      <c r="D41" s="46" t="inlineStr">
        <is>
          <t>卫浴</t>
        </is>
      </c>
      <c r="E41" s="46" t="inlineStr">
        <is>
          <t>2 水电</t>
        </is>
      </c>
      <c r="F41" s="46" t="inlineStr">
        <is>
          <t>水电前定坑距/尺寸</t>
        </is>
      </c>
      <c r="G41" s="46" t="inlineStr">
        <is>
          <t>第2月定/第6-7月装</t>
        </is>
      </c>
      <c r="H41" s="190" t="n">
        <v>9000</v>
      </c>
      <c r="I41" s="190" t="n">
        <v>16000</v>
      </c>
      <c r="J41" s="190" t="n">
        <v>12000</v>
      </c>
      <c r="K41" s="46" t="inlineStr">
        <is>
          <t>九牧/恒洁/箭牌/法恩莎</t>
        </is>
      </c>
      <c r="L41" s="46" t="inlineStr">
        <is>
          <t>中高</t>
        </is>
      </c>
      <c r="M41" s="46" t="inlineStr">
        <is>
          <t>未开始</t>
        </is>
      </c>
      <c r="N41" s="47" t="inlineStr">
        <is>
          <t>耐用好清洁优先</t>
        </is>
      </c>
      <c r="O41" t="n">
        <v>0</v>
      </c>
      <c r="P41" t="n">
        <v>0</v>
      </c>
      <c r="Q41" t="inlineStr"/>
    </row>
    <row r="42" ht="42" customHeight="1" s="184">
      <c r="A42" s="43" t="inlineStr">
        <is>
          <t>3F洗衣区</t>
        </is>
      </c>
      <c r="B42" s="46" t="inlineStr">
        <is>
          <t>卫浴洁具五金</t>
        </is>
      </c>
      <c r="C42" s="46" t="inlineStr">
        <is>
          <t>洗衣池/龙头/地漏</t>
        </is>
      </c>
      <c r="D42" s="46" t="inlineStr">
        <is>
          <t>卫浴</t>
        </is>
      </c>
      <c r="E42" s="46" t="inlineStr">
        <is>
          <t>2 水电</t>
        </is>
      </c>
      <c r="F42" s="46" t="inlineStr">
        <is>
          <t>水电前定上下水</t>
        </is>
      </c>
      <c r="G42" s="46" t="inlineStr">
        <is>
          <t>第2月定/第6-7月装</t>
        </is>
      </c>
      <c r="H42" s="190" t="n">
        <v>3000</v>
      </c>
      <c r="I42" s="190" t="n">
        <v>8000</v>
      </c>
      <c r="J42" s="190" t="n">
        <v>5000</v>
      </c>
      <c r="K42" s="46" t="inlineStr">
        <is>
          <t>九牧/潜水艇/摩恩/悍高</t>
        </is>
      </c>
      <c r="L42" s="46" t="inlineStr">
        <is>
          <t>高</t>
        </is>
      </c>
      <c r="M42" s="46" t="inlineStr">
        <is>
          <t>未开始</t>
        </is>
      </c>
      <c r="N42" s="47" t="inlineStr">
        <is>
          <t>洗衣区要地漏、防水、防溢水报警</t>
        </is>
      </c>
      <c r="O42" t="n">
        <v>0</v>
      </c>
      <c r="P42" t="n">
        <v>0</v>
      </c>
      <c r="Q42" t="inlineStr"/>
    </row>
    <row r="43" ht="42" customHeight="1" s="184">
      <c r="A43" s="43" t="inlineStr">
        <is>
          <t>全屋湿区</t>
        </is>
      </c>
      <c r="B43" s="46" t="inlineStr">
        <is>
          <t>卫浴洁具五金</t>
        </is>
      </c>
      <c r="C43" s="46" t="inlineStr">
        <is>
          <t>地漏/角阀/止逆阀/五金</t>
        </is>
      </c>
      <c r="D43" s="46" t="inlineStr">
        <is>
          <t>卫浴</t>
        </is>
      </c>
      <c r="E43" s="46" t="inlineStr">
        <is>
          <t>2-4 水电瓦工</t>
        </is>
      </c>
      <c r="F43" s="46" t="inlineStr">
        <is>
          <t>早买</t>
        </is>
      </c>
      <c r="G43" s="46" t="inlineStr">
        <is>
          <t>第2-4个月</t>
        </is>
      </c>
      <c r="H43" s="190" t="n">
        <v>8000</v>
      </c>
      <c r="I43" s="190" t="n">
        <v>12000</v>
      </c>
      <c r="J43" s="190" t="n">
        <v>10000</v>
      </c>
      <c r="K43" s="46" t="inlineStr">
        <is>
          <t>潜水艇/悍高/摩恩/九牧</t>
        </is>
      </c>
      <c r="L43" s="46" t="inlineStr">
        <is>
          <t>最高</t>
        </is>
      </c>
      <c r="M43" s="46" t="inlineStr">
        <is>
          <t>未开始</t>
        </is>
      </c>
      <c r="N43" s="47" t="inlineStr">
        <is>
          <t>单价不高但最不能省，避免后期漏水返臭</t>
        </is>
      </c>
      <c r="O43" t="n">
        <v>0</v>
      </c>
      <c r="P43" t="n">
        <v>0</v>
      </c>
      <c r="Q43" t="inlineStr"/>
    </row>
    <row r="44" ht="42" customHeight="1" s="184">
      <c r="A44" s="43" t="inlineStr">
        <is>
          <t>全屋</t>
        </is>
      </c>
      <c r="B44" s="46" t="inlineStr">
        <is>
          <t>灯光+智能+弱电+窗帘</t>
        </is>
      </c>
      <c r="C44" s="46" t="inlineStr">
        <is>
          <t>全屋基础灯具</t>
        </is>
      </c>
      <c r="D44" s="46" t="inlineStr">
        <is>
          <t>灯光</t>
        </is>
      </c>
      <c r="E44" s="46" t="inlineStr">
        <is>
          <t>5-7 安装</t>
        </is>
      </c>
      <c r="F44" s="46" t="inlineStr">
        <is>
          <t>灯位定后买</t>
        </is>
      </c>
      <c r="G44" s="46" t="inlineStr">
        <is>
          <t>第5-7个月</t>
        </is>
      </c>
      <c r="H44" s="190" t="n">
        <v>18000</v>
      </c>
      <c r="I44" s="190" t="n">
        <v>30000</v>
      </c>
      <c r="J44" s="190" t="n">
        <v>23000</v>
      </c>
      <c r="K44" s="46" t="inlineStr">
        <is>
          <t>西顿/雷士/欧普/飞利浦</t>
        </is>
      </c>
      <c r="L44" s="46" t="inlineStr">
        <is>
          <t>中高</t>
        </is>
      </c>
      <c r="M44" s="46" t="inlineStr">
        <is>
          <t>未开始</t>
        </is>
      </c>
      <c r="N44" s="47" t="inlineStr">
        <is>
          <t>避免过度无主灯，重点区域做好即可</t>
        </is>
      </c>
      <c r="O44" t="n">
        <v>0</v>
      </c>
      <c r="P44" t="n">
        <v>0</v>
      </c>
      <c r="Q44" t="inlineStr"/>
    </row>
    <row r="45" ht="42" customHeight="1" s="184">
      <c r="A45" s="43" t="inlineStr">
        <is>
          <t>全屋</t>
        </is>
      </c>
      <c r="B45" s="46" t="inlineStr">
        <is>
          <t>灯光+智能+弱电+窗帘</t>
        </is>
      </c>
      <c r="C45" s="46" t="inlineStr">
        <is>
          <t>开关插座面板</t>
        </is>
      </c>
      <c r="D45" s="46" t="inlineStr">
        <is>
          <t>灯光/电气</t>
        </is>
      </c>
      <c r="E45" s="46" t="inlineStr">
        <is>
          <t>2 水电/7 安装</t>
        </is>
      </c>
      <c r="F45" s="46" t="inlineStr">
        <is>
          <t>水电前定系列，油漆后安装</t>
        </is>
      </c>
      <c r="G45" s="46" t="inlineStr">
        <is>
          <t>第2月定/第7月装</t>
        </is>
      </c>
      <c r="H45" s="190" t="n">
        <v>10000</v>
      </c>
      <c r="I45" s="190" t="n">
        <v>15000</v>
      </c>
      <c r="J45" s="190" t="n">
        <v>12000</v>
      </c>
      <c r="K45" s="46" t="inlineStr">
        <is>
          <t>施耐德/西门子/罗格朗/公牛高端</t>
        </is>
      </c>
      <c r="L45" s="46" t="inlineStr">
        <is>
          <t>高</t>
        </is>
      </c>
      <c r="M45" s="46" t="inlineStr">
        <is>
          <t>未开始</t>
        </is>
      </c>
      <c r="N45" s="47" t="inlineStr">
        <is>
          <t>智能开关需确认零火线</t>
        </is>
      </c>
      <c r="O45" t="n">
        <v>0</v>
      </c>
      <c r="P45" t="n">
        <v>0</v>
      </c>
      <c r="Q45" t="inlineStr"/>
    </row>
    <row r="46" ht="42" customHeight="1" s="184">
      <c r="A46" s="43" t="inlineStr">
        <is>
          <t>全屋</t>
        </is>
      </c>
      <c r="B46" s="46" t="inlineStr">
        <is>
          <t>灯光+智能+弱电+窗帘</t>
        </is>
      </c>
      <c r="C46" s="46" t="inlineStr">
        <is>
          <t>智能家居基础包</t>
        </is>
      </c>
      <c r="D46" s="46" t="inlineStr">
        <is>
          <t>智能</t>
        </is>
      </c>
      <c r="E46" s="46" t="inlineStr">
        <is>
          <t>2 水电</t>
        </is>
      </c>
      <c r="F46" s="46" t="inlineStr">
        <is>
          <t>水电前定方案</t>
        </is>
      </c>
      <c r="G46" s="46" t="inlineStr">
        <is>
          <t>第2个月</t>
        </is>
      </c>
      <c r="H46" s="190" t="n">
        <v>8000</v>
      </c>
      <c r="I46" s="190" t="n">
        <v>15000</v>
      </c>
      <c r="J46" s="190" t="n">
        <v>10000</v>
      </c>
      <c r="K46" s="46" t="inlineStr">
        <is>
          <t>Aqara/华为/小米/涂鸦</t>
        </is>
      </c>
      <c r="L46" s="46" t="inlineStr">
        <is>
          <t>中高</t>
        </is>
      </c>
      <c r="M46" s="46" t="inlineStr">
        <is>
          <t>未开始</t>
        </is>
      </c>
      <c r="N46" s="47" t="inlineStr">
        <is>
          <t>先做基础场景，不必全屋堆屏幕</t>
        </is>
      </c>
      <c r="O46" t="n">
        <v>0</v>
      </c>
      <c r="P46" t="n">
        <v>0</v>
      </c>
      <c r="Q46" t="inlineStr"/>
    </row>
    <row r="47" ht="42" customHeight="1" s="184">
      <c r="A47" s="43" t="inlineStr">
        <is>
          <t>全屋</t>
        </is>
      </c>
      <c r="B47" s="46" t="inlineStr">
        <is>
          <t>灯光+智能+弱电+窗帘</t>
        </is>
      </c>
      <c r="C47" s="46" t="inlineStr">
        <is>
          <t>网络AP/监控/弱电箱</t>
        </is>
      </c>
      <c r="D47" s="46" t="inlineStr">
        <is>
          <t>弱电</t>
        </is>
      </c>
      <c r="E47" s="46" t="inlineStr">
        <is>
          <t>2 水电</t>
        </is>
      </c>
      <c r="F47" s="46" t="inlineStr">
        <is>
          <t>水电前定点位</t>
        </is>
      </c>
      <c r="G47" s="46" t="inlineStr">
        <is>
          <t>第2个月</t>
        </is>
      </c>
      <c r="H47" s="190" t="n">
        <v>8000</v>
      </c>
      <c r="I47" s="190" t="n">
        <v>15000</v>
      </c>
      <c r="J47" s="190" t="n">
        <v>10000</v>
      </c>
      <c r="K47" s="46" t="inlineStr">
        <is>
          <t>TP-Link/H3C/UniFi/华为/海康/萤石</t>
        </is>
      </c>
      <c r="L47" s="46" t="inlineStr">
        <is>
          <t>最高</t>
        </is>
      </c>
      <c r="M47" s="46" t="inlineStr">
        <is>
          <t>未开始</t>
        </is>
      </c>
      <c r="N47" s="47" t="inlineStr">
        <is>
          <t>五层每层至少1个AP，地下室也要布点</t>
        </is>
      </c>
      <c r="O47" t="n">
        <v>0</v>
      </c>
      <c r="P47" t="n">
        <v>0</v>
      </c>
      <c r="Q47" t="inlineStr"/>
    </row>
    <row r="48" ht="42" customHeight="1" s="184">
      <c r="A48" s="43" t="inlineStr">
        <is>
          <t>全屋</t>
        </is>
      </c>
      <c r="B48" s="46" t="inlineStr">
        <is>
          <t>灯光+智能+弱电+窗帘</t>
        </is>
      </c>
      <c r="C48" s="46" t="inlineStr">
        <is>
          <t>基础窗帘/电动窗帘预留</t>
        </is>
      </c>
      <c r="D48" s="46" t="inlineStr">
        <is>
          <t>软装/智能</t>
        </is>
      </c>
      <c r="E48" s="46" t="inlineStr">
        <is>
          <t>2 水电/8 软装</t>
        </is>
      </c>
      <c r="F48" s="46" t="inlineStr">
        <is>
          <t>水电前留电，硬装后复尺</t>
        </is>
      </c>
      <c r="G48" s="46" t="inlineStr">
        <is>
          <t>第2月预留/第8月装</t>
        </is>
      </c>
      <c r="H48" s="190" t="n">
        <v>4000</v>
      </c>
      <c r="I48" s="190" t="n">
        <v>10000</v>
      </c>
      <c r="J48" s="190" t="n">
        <v>5000</v>
      </c>
      <c r="K48" s="46" t="inlineStr">
        <is>
          <t>本地窗帘店/Aqara/杜亚</t>
        </is>
      </c>
      <c r="L48" s="46" t="inlineStr">
        <is>
          <t>中</t>
        </is>
      </c>
      <c r="M48" s="46" t="inlineStr">
        <is>
          <t>未开始</t>
        </is>
      </c>
      <c r="N48" s="47" t="inlineStr">
        <is>
          <t>窗帘不能太早量，等硬装完成复尺</t>
        </is>
      </c>
      <c r="O48" t="n">
        <v>0</v>
      </c>
      <c r="P48" t="n">
        <v>0</v>
      </c>
      <c r="Q48" t="inlineStr"/>
    </row>
    <row r="49" ht="42" customHeight="1" s="184">
      <c r="A49" s="43" t="inlineStr">
        <is>
          <t>1F客厅</t>
        </is>
      </c>
      <c r="B49" s="46" t="inlineStr">
        <is>
          <t>家具软装一期</t>
        </is>
      </c>
      <c r="C49" s="46" t="inlineStr">
        <is>
          <t>沙发/茶几/电视柜</t>
        </is>
      </c>
      <c r="D49" s="46" t="inlineStr">
        <is>
          <t>软装</t>
        </is>
      </c>
      <c r="E49" s="46" t="inlineStr">
        <is>
          <t>8 软装</t>
        </is>
      </c>
      <c r="F49" s="46" t="inlineStr">
        <is>
          <t>后买</t>
        </is>
      </c>
      <c r="G49" s="46" t="inlineStr">
        <is>
          <t>第8个月</t>
        </is>
      </c>
      <c r="H49" s="190" t="n">
        <v>20000</v>
      </c>
      <c r="I49" s="190" t="n">
        <v>30000</v>
      </c>
      <c r="J49" s="190" t="n">
        <v>25000</v>
      </c>
      <c r="K49" s="46" t="inlineStr">
        <is>
          <t>顾家/芝华仕/源氏木语/宜家/本地家具</t>
        </is>
      </c>
      <c r="L49" s="46" t="inlineStr">
        <is>
          <t>中</t>
        </is>
      </c>
      <c r="M49" s="46" t="inlineStr">
        <is>
          <t>未开始</t>
        </is>
      </c>
      <c r="N49" s="47" t="inlineStr">
        <is>
          <t>等硬装颜色和客厅尺寸出来后再买</t>
        </is>
      </c>
      <c r="O49" t="n">
        <v>0</v>
      </c>
      <c r="P49" t="n">
        <v>0</v>
      </c>
      <c r="Q49" t="inlineStr"/>
    </row>
    <row r="50" ht="42" customHeight="1" s="184">
      <c r="A50" s="43" t="inlineStr">
        <is>
          <t>1F餐厅</t>
        </is>
      </c>
      <c r="B50" s="46" t="inlineStr">
        <is>
          <t>家具软装一期</t>
        </is>
      </c>
      <c r="C50" s="46" t="inlineStr">
        <is>
          <t>餐桌椅</t>
        </is>
      </c>
      <c r="D50" s="46" t="inlineStr">
        <is>
          <t>软装</t>
        </is>
      </c>
      <c r="E50" s="46" t="inlineStr">
        <is>
          <t>8 软装</t>
        </is>
      </c>
      <c r="F50" s="46" t="inlineStr">
        <is>
          <t>后买</t>
        </is>
      </c>
      <c r="G50" s="46" t="inlineStr">
        <is>
          <t>第8个月</t>
        </is>
      </c>
      <c r="H50" s="190" t="n">
        <v>9000</v>
      </c>
      <c r="I50" s="190" t="n">
        <v>16000</v>
      </c>
      <c r="J50" s="190" t="n">
        <v>12000</v>
      </c>
      <c r="K50" s="46" t="inlineStr">
        <is>
          <t>顾家/源氏木语/宜家/本地家具</t>
        </is>
      </c>
      <c r="L50" s="46" t="inlineStr">
        <is>
          <t>中</t>
        </is>
      </c>
      <c r="M50" s="46" t="inlineStr">
        <is>
          <t>未开始</t>
        </is>
      </c>
      <c r="N50" s="47" t="inlineStr">
        <is>
          <t>结合餐厅动线，不要买太大</t>
        </is>
      </c>
      <c r="O50" t="n">
        <v>0</v>
      </c>
      <c r="P50" t="n">
        <v>0</v>
      </c>
      <c r="Q50" t="inlineStr"/>
    </row>
    <row r="51" ht="42" customHeight="1" s="184">
      <c r="A51" s="43" t="inlineStr">
        <is>
          <t>3F主卧</t>
        </is>
      </c>
      <c r="B51" s="46" t="inlineStr">
        <is>
          <t>家具软装一期</t>
        </is>
      </c>
      <c r="C51" s="46" t="inlineStr">
        <is>
          <t>主卧床+床垫</t>
        </is>
      </c>
      <c r="D51" s="46" t="inlineStr">
        <is>
          <t>软装</t>
        </is>
      </c>
      <c r="E51" s="46" t="inlineStr">
        <is>
          <t>8 软装</t>
        </is>
      </c>
      <c r="F51" s="46" t="inlineStr">
        <is>
          <t>后买，但可提前试睡</t>
        </is>
      </c>
      <c r="G51" s="46" t="inlineStr">
        <is>
          <t>第7-8个月</t>
        </is>
      </c>
      <c r="H51" s="190" t="n">
        <v>12000</v>
      </c>
      <c r="I51" s="190" t="n">
        <v>22000</v>
      </c>
      <c r="J51" s="190" t="n">
        <v>16000</v>
      </c>
      <c r="K51" s="46" t="inlineStr">
        <is>
          <t>金可儿/舒达/喜临门/慕思/雅兰</t>
        </is>
      </c>
      <c r="L51" s="46" t="inlineStr">
        <is>
          <t>高</t>
        </is>
      </c>
      <c r="M51" s="46" t="inlineStr">
        <is>
          <t>未开始</t>
        </is>
      </c>
      <c r="N51" s="47" t="inlineStr">
        <is>
          <t>床垫可以买好一点，睡眠体验直接影响居住</t>
        </is>
      </c>
      <c r="O51" t="n">
        <v>0</v>
      </c>
      <c r="P51" t="n">
        <v>0</v>
      </c>
      <c r="Q51" t="inlineStr"/>
    </row>
    <row r="52" ht="42" customHeight="1" s="184">
      <c r="A52" s="43" t="inlineStr">
        <is>
          <t>2F卧室</t>
        </is>
      </c>
      <c r="B52" s="46" t="inlineStr">
        <is>
          <t>家具软装一期</t>
        </is>
      </c>
      <c r="C52" s="46" t="inlineStr">
        <is>
          <t>次卧床+床垫+基础家具</t>
        </is>
      </c>
      <c r="D52" s="46" t="inlineStr">
        <is>
          <t>软装</t>
        </is>
      </c>
      <c r="E52" s="46" t="inlineStr">
        <is>
          <t>8 软装</t>
        </is>
      </c>
      <c r="F52" s="46" t="inlineStr">
        <is>
          <t>后买</t>
        </is>
      </c>
      <c r="G52" s="46" t="inlineStr">
        <is>
          <t>第8个月</t>
        </is>
      </c>
      <c r="H52" s="190" t="n">
        <v>9000</v>
      </c>
      <c r="I52" s="190" t="n">
        <v>16000</v>
      </c>
      <c r="J52" s="190" t="n">
        <v>12000</v>
      </c>
      <c r="K52" s="46" t="inlineStr">
        <is>
          <t>喜临门/雅兰/源氏木语/宜家</t>
        </is>
      </c>
      <c r="L52" s="46" t="inlineStr">
        <is>
          <t>中</t>
        </is>
      </c>
      <c r="M52" s="46" t="inlineStr">
        <is>
          <t>未开始</t>
        </is>
      </c>
      <c r="N52" s="47" t="inlineStr">
        <is>
          <t>柜体装完后再定床尺寸</t>
        </is>
      </c>
      <c r="O52" t="n">
        <v>0</v>
      </c>
      <c r="P52" t="n">
        <v>0</v>
      </c>
      <c r="Q52" t="inlineStr"/>
    </row>
    <row r="53" ht="42" customHeight="1" s="184">
      <c r="A53" s="43" t="inlineStr">
        <is>
          <t>B1茶室</t>
        </is>
      </c>
      <c r="B53" s="46" t="inlineStr">
        <is>
          <t>家具软装一期</t>
        </is>
      </c>
      <c r="C53" s="46" t="inlineStr">
        <is>
          <t>茶桌茶椅</t>
        </is>
      </c>
      <c r="D53" s="46" t="inlineStr">
        <is>
          <t>软装</t>
        </is>
      </c>
      <c r="E53" s="46" t="inlineStr">
        <is>
          <t>8 软装</t>
        </is>
      </c>
      <c r="F53" s="46" t="inlineStr">
        <is>
          <t>后买</t>
        </is>
      </c>
      <c r="G53" s="46" t="inlineStr">
        <is>
          <t>第8个月</t>
        </is>
      </c>
      <c r="H53" s="190" t="n">
        <v>8000</v>
      </c>
      <c r="I53" s="190" t="n">
        <v>15000</v>
      </c>
      <c r="J53" s="190" t="n">
        <v>10000</v>
      </c>
      <c r="K53" s="46" t="inlineStr">
        <is>
          <t>本地茶家具/源氏木语/淘宝严选</t>
        </is>
      </c>
      <c r="L53" s="46" t="inlineStr">
        <is>
          <t>中</t>
        </is>
      </c>
      <c r="M53" s="46" t="inlineStr">
        <is>
          <t>未开始</t>
        </is>
      </c>
      <c r="N53" s="47" t="inlineStr">
        <is>
          <t>地下室湿度稳定后再进场</t>
        </is>
      </c>
      <c r="O53" t="n">
        <v>0</v>
      </c>
      <c r="P53" t="n">
        <v>0</v>
      </c>
      <c r="Q53" t="inlineStr"/>
    </row>
    <row r="54" ht="42" customHeight="1" s="184">
      <c r="A54" s="43" t="inlineStr">
        <is>
          <t>全屋</t>
        </is>
      </c>
      <c r="B54" s="46" t="inlineStr">
        <is>
          <t>家具软装一期</t>
        </is>
      </c>
      <c r="C54" s="46" t="inlineStr">
        <is>
          <t>地毯/装饰画/绿植/摆件</t>
        </is>
      </c>
      <c r="D54" s="46" t="inlineStr">
        <is>
          <t>软装</t>
        </is>
      </c>
      <c r="E54" s="46" t="inlineStr">
        <is>
          <t>8 软装</t>
        </is>
      </c>
      <c r="F54" s="46" t="inlineStr">
        <is>
          <t>最后买</t>
        </is>
      </c>
      <c r="G54" s="46" t="inlineStr">
        <is>
          <t>入住前后</t>
        </is>
      </c>
      <c r="H54" s="190" t="n">
        <v>3000</v>
      </c>
      <c r="I54" s="190" t="n">
        <v>10000</v>
      </c>
      <c r="J54" s="190" t="n">
        <v>5000</v>
      </c>
      <c r="K54" s="46" t="inlineStr">
        <is>
          <t>本地软装/线上平台</t>
        </is>
      </c>
      <c r="L54" s="46" t="inlineStr">
        <is>
          <t>低</t>
        </is>
      </c>
      <c r="M54" s="46" t="inlineStr">
        <is>
          <t>未开始</t>
        </is>
      </c>
      <c r="N54" s="47" t="inlineStr">
        <is>
          <t>最后补，不要占用前期预算</t>
        </is>
      </c>
      <c r="O54" t="n">
        <v>0</v>
      </c>
      <c r="P54" t="n">
        <v>0</v>
      </c>
      <c r="Q54" t="inlineStr"/>
    </row>
    <row r="55" ht="42" customHeight="1" s="184">
      <c r="A55" s="48" t="inlineStr">
        <is>
          <t>全屋</t>
        </is>
      </c>
      <c r="B55" s="51" t="inlineStr">
        <is>
          <t>预备金</t>
        </is>
      </c>
      <c r="C55" s="51" t="inlineStr">
        <is>
          <t>漏项/加项/运输安装/损耗</t>
        </is>
      </c>
      <c r="D55" s="51" t="inlineStr">
        <is>
          <t>预备金</t>
        </is>
      </c>
      <c r="E55" s="51" t="inlineStr">
        <is>
          <t>全阶段</t>
        </is>
      </c>
      <c r="F55" s="51" t="inlineStr">
        <is>
          <t>保留</t>
        </is>
      </c>
      <c r="G55" s="51" t="inlineStr">
        <is>
          <t>全程</t>
        </is>
      </c>
      <c r="H55" s="192" t="n">
        <v>30000</v>
      </c>
      <c r="I55" s="192" t="n">
        <v>60000</v>
      </c>
      <c r="J55" s="192" t="n">
        <v>40000</v>
      </c>
      <c r="K55" s="51" t="inlineStr">
        <is>
          <t>不适用</t>
        </is>
      </c>
      <c r="L55" s="51" t="inlineStr">
        <is>
          <t>高</t>
        </is>
      </c>
      <c r="M55" s="51" t="inlineStr">
        <is>
          <t>未开始</t>
        </is>
      </c>
      <c r="N55" s="52" t="inlineStr">
        <is>
          <t>不要提前花掉，控制变更和临时加项</t>
        </is>
      </c>
      <c r="O55" t="n">
        <v>0</v>
      </c>
      <c r="P55" t="n">
        <v>0</v>
      </c>
      <c r="Q55" t="inlineStr"/>
    </row>
  </sheetData>
  <mergeCells count="1">
    <mergeCell ref="A1:N1"/>
  </mergeCells>
  <conditionalFormatting sqref="L4:L55">
    <cfRule type="expression" priority="1" dxfId="0">
      <formula>OR($L4="最高",$L4="高")</formula>
    </cfRule>
  </conditionalFormatting>
  <conditionalFormatting sqref="M4:M55">
    <cfRule type="expression" priority="2" dxfId="1">
      <formula>$M4="已安装"</formula>
    </cfRule>
    <cfRule type="expression" priority="3" dxfId="2">
      <formula>$M4="延期"</formula>
    </cfRule>
  </conditionalFormatting>
  <dataValidations count="3">
    <dataValidation sqref="M4:M55" showDropDown="0" showInputMessage="0" showErrorMessage="0" allowBlank="0" type="list">
      <formula1>"未开始,询价中,已定方案,已下单,已安装,延期"</formula1>
    </dataValidation>
    <dataValidation sqref="L4:L55" showDropDown="0" showInputMessage="0" showErrorMessage="0" allowBlank="0" type="list">
      <formula1>"最高,高,中高,中,低"</formula1>
    </dataValidation>
    <dataValidation sqref="F4:F55" showDropDown="0" showInputMessage="0" showErrorMessage="0" allowBlank="0" type="list">
      <formula1>"最早定,先定,水电前定尺寸,水电前出图，复尺后下单,先买,先做,复尺后下单,按节点买,后买,最后买,保留,按合同节点"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style="184" min="1" max="1"/>
    <col width="20" customWidth="1" style="184" min="2" max="2"/>
    <col width="16" customWidth="1" style="184" min="3" max="3"/>
    <col width="32" customWidth="1" style="184" min="4" max="4"/>
    <col width="34" customWidth="1" style="184" min="5" max="5"/>
    <col width="28" customWidth="1" style="184" min="6" max="6"/>
    <col width="34" customWidth="1" style="184" min="7" max="7"/>
    <col width="24" customWidth="1" style="184" min="8" max="8"/>
  </cols>
  <sheetData>
    <row r="1" ht="30" customHeight="1" s="184">
      <c r="A1" s="79" t="inlineStr">
        <is>
          <t>装修阶段与采购先后顺序</t>
        </is>
      </c>
      <c r="B1" s="1" t="n"/>
      <c r="C1" s="1" t="n"/>
      <c r="D1" s="1" t="n"/>
      <c r="E1" s="1" t="n"/>
      <c r="F1" s="1" t="n"/>
      <c r="G1" s="1" t="n"/>
      <c r="H1" s="1" t="n"/>
    </row>
    <row r="3" ht="24" customHeight="1" s="184">
      <c r="A3" s="88" t="inlineStr">
        <is>
          <t>阶段编号</t>
        </is>
      </c>
      <c r="B3" s="89" t="inlineStr">
        <is>
          <t>阶段名称</t>
        </is>
      </c>
      <c r="C3" s="89" t="inlineStr">
        <is>
          <t>月份参考</t>
        </is>
      </c>
      <c r="D3" s="89" t="inlineStr">
        <is>
          <t>核心任务</t>
        </is>
      </c>
      <c r="E3" s="89" t="inlineStr">
        <is>
          <t>必须先定/先买</t>
        </is>
      </c>
      <c r="F3" s="89" t="inlineStr">
        <is>
          <t>不能买早</t>
        </is>
      </c>
      <c r="G3" s="89" t="inlineStr">
        <is>
          <t>验收重点</t>
        </is>
      </c>
      <c r="H3" s="90" t="inlineStr">
        <is>
          <t>关联预算大项</t>
        </is>
      </c>
    </row>
    <row r="4" ht="62" customHeight="1" s="184">
      <c r="A4" s="43" t="n">
        <v>0</v>
      </c>
      <c r="B4" s="46" t="inlineStr">
        <is>
          <t>开工前：设计与系统定案</t>
        </is>
      </c>
      <c r="C4" s="46" t="inlineStr">
        <is>
          <t>开工前1-2个月</t>
        </is>
      </c>
      <c r="D4" s="46" t="inlineStr">
        <is>
          <t>定总方案、预算、系统设备、厨房卫浴关键尺寸</t>
        </is>
      </c>
      <c r="E4" s="46" t="inlineStr">
        <is>
          <t>设计图纸、电梯、中央空调、地暖、新风、地下室除湿、橱柜初图、卫浴坑距</t>
        </is>
      </c>
      <c r="F4" s="46" t="inlineStr">
        <is>
          <t>沙发、餐桌、床、窗帘、装饰画</t>
        </is>
      </c>
      <c r="G4" s="46" t="inlineStr">
        <is>
          <t>图纸是否覆盖水电/灯光/暖通/柜体/节点；报价是否拆项</t>
        </is>
      </c>
      <c r="H4" s="47" t="inlineStr">
        <is>
          <t>设计/监理、舒适系统、电梯</t>
        </is>
      </c>
    </row>
    <row r="5" ht="62" customHeight="1" s="184">
      <c r="A5" s="43" t="n">
        <v>1</v>
      </c>
      <c r="B5" s="46" t="inlineStr">
        <is>
          <t>拆改/土建阶段</t>
        </is>
      </c>
      <c r="C5" s="46" t="inlineStr">
        <is>
          <t>第1-2个月</t>
        </is>
      </c>
      <c r="D5" s="46" t="inlineStr">
        <is>
          <t>墙体、门洞、电梯井、地下室基础处理</t>
        </is>
      </c>
      <c r="E5" s="46" t="inlineStr">
        <is>
          <t>电梯井道深化、防水材料、排水/集水坑、门窗改造方案</t>
        </is>
      </c>
      <c r="F5" s="46" t="inlineStr">
        <is>
          <t>家具软装、装饰灯、地毯</t>
        </is>
      </c>
      <c r="G5" s="46" t="inlineStr">
        <is>
          <t>井道尺寸、底坑、顶层高度、地下室防水防潮基层</t>
        </is>
      </c>
      <c r="H5" s="47" t="inlineStr">
        <is>
          <t>基础硬装、电梯、地下室专项</t>
        </is>
      </c>
    </row>
    <row r="6" ht="62" customHeight="1" s="184">
      <c r="A6" s="43" t="n">
        <v>2</v>
      </c>
      <c r="B6" s="46" t="inlineStr">
        <is>
          <t>水电阶段</t>
        </is>
      </c>
      <c r="C6" s="46" t="inlineStr">
        <is>
          <t>第2个月</t>
        </is>
      </c>
      <c r="D6" s="46" t="inlineStr">
        <is>
          <t>插座、上下水、网线、灯位、设备电源一次性定好</t>
        </is>
      </c>
      <c r="E6" s="46" t="inlineStr">
        <is>
          <t>厨电尺寸、洗烘尺寸、智能马桶、浴室柜、AP/摄像头、电动窗帘电源</t>
        </is>
      </c>
      <c r="F6" s="46" t="inlineStr">
        <is>
          <t>窗帘成品、沙发、茶桌</t>
        </is>
      </c>
      <c r="G6" s="46" t="inlineStr">
        <is>
          <t>强弱电点位、厨房/洗衣/茶室上下水、地下室除湿排水</t>
        </is>
      </c>
      <c r="H6" s="47" t="inlineStr">
        <is>
          <t>基础硬装、厨房家电、卫浴、弱电智能</t>
        </is>
      </c>
    </row>
    <row r="7" ht="62" customHeight="1" s="184">
      <c r="A7" s="43" t="n">
        <v>3</v>
      </c>
      <c r="B7" s="46" t="inlineStr">
        <is>
          <t>暖通/地暖/防水阶段</t>
        </is>
      </c>
      <c r="C7" s="46" t="inlineStr">
        <is>
          <t>第2-3个月</t>
        </is>
      </c>
      <c r="D7" s="46" t="inlineStr">
        <is>
          <t>隐蔽工程、地暖、空调新风除湿管路、防水</t>
        </is>
      </c>
      <c r="E7" s="46" t="inlineStr">
        <is>
          <t>中央空调内机、新风除湿管路、地暖盘管、地漏止逆阀</t>
        </is>
      </c>
      <c r="F7" s="46" t="inlineStr">
        <is>
          <t>家具、窗帘、装饰画</t>
        </is>
      </c>
      <c r="G7" s="46" t="inlineStr">
        <is>
          <t>打压测试、闭水测试、冷凝水坡度、检修口位置</t>
        </is>
      </c>
      <c r="H7" s="47" t="inlineStr">
        <is>
          <t>舒适系统、基础硬装</t>
        </is>
      </c>
    </row>
    <row r="8" ht="62" customHeight="1" s="184">
      <c r="A8" s="43" t="n">
        <v>4</v>
      </c>
      <c r="B8" s="46" t="inlineStr">
        <is>
          <t>瓦工/主材阶段</t>
        </is>
      </c>
      <c r="C8" s="46" t="inlineStr">
        <is>
          <t>第3-4个月</t>
        </is>
      </c>
      <c r="D8" s="46" t="inlineStr">
        <is>
          <t>瓷砖、门槛石、挡水条、地面墙面基础</t>
        </is>
      </c>
      <c r="E8" s="46" t="inlineStr">
        <is>
          <t>瓷砖、地漏、门槛石、挡水条、美缝颜色</t>
        </is>
      </c>
      <c r="F8" s="46" t="inlineStr">
        <is>
          <t>木地板、家具、窗帘</t>
        </is>
      </c>
      <c r="G8" s="46" t="inlineStr">
        <is>
          <t>瓷砖空鼓、坡度、排水、地漏位置、防滑</t>
        </is>
      </c>
      <c r="H8" s="47" t="inlineStr">
        <is>
          <t>主材、卫浴五金</t>
        </is>
      </c>
    </row>
    <row r="9" ht="62" customHeight="1" s="184">
      <c r="A9" s="43" t="n">
        <v>5</v>
      </c>
      <c r="B9" s="46" t="inlineStr">
        <is>
          <t>木作/吊顶/门窗阶段</t>
        </is>
      </c>
      <c r="C9" s="46" t="inlineStr">
        <is>
          <t>第4-5个月</t>
        </is>
      </c>
      <c r="D9" s="46" t="inlineStr">
        <is>
          <t>吊顶、门窗、楼梯、柜体复尺</t>
        </is>
      </c>
      <c r="E9" s="46" t="inlineStr">
        <is>
          <t>室内门、楼梯踏步、空调风口、检修口、柜体深化图</t>
        </is>
      </c>
      <c r="F9" s="46" t="inlineStr">
        <is>
          <t>沙发床餐桌、地毯</t>
        </is>
      </c>
      <c r="G9" s="46" t="inlineStr">
        <is>
          <t>检修口是否足够、风口是否合理、门套与柜体关系</t>
        </is>
      </c>
      <c r="H9" s="47" t="inlineStr">
        <is>
          <t>主材、全屋定制、灯光</t>
        </is>
      </c>
    </row>
    <row r="10" ht="62" customHeight="1" s="184">
      <c r="A10" s="43" t="n">
        <v>6</v>
      </c>
      <c r="B10" s="46" t="inlineStr">
        <is>
          <t>油漆/墙面阶段</t>
        </is>
      </c>
      <c r="C10" s="46" t="inlineStr">
        <is>
          <t>第5-6个月</t>
        </is>
      </c>
      <c r="D10" s="46" t="inlineStr">
        <is>
          <t>墙面顶面完成，进入安装前准备</t>
        </is>
      </c>
      <c r="E10" s="46" t="inlineStr">
        <is>
          <t>乳胶漆/防霉墙面、开关面板、灯具、柜体正式下单</t>
        </is>
      </c>
      <c r="F10" s="46" t="inlineStr">
        <is>
          <t>装饰画和地毯可继续等</t>
        </is>
      </c>
      <c r="G10" s="46" t="inlineStr">
        <is>
          <t>墙面平整、阴阳角、地下室防霉材料是否到位</t>
        </is>
      </c>
      <c r="H10" s="47" t="inlineStr">
        <is>
          <t>主材、全屋定制、灯光</t>
        </is>
      </c>
    </row>
    <row r="11" ht="62" customHeight="1" s="184">
      <c r="A11" s="43" t="n">
        <v>7</v>
      </c>
      <c r="B11" s="46" t="inlineStr">
        <is>
          <t>安装阶段</t>
        </is>
      </c>
      <c r="C11" s="46" t="inlineStr">
        <is>
          <t>第6-7个月</t>
        </is>
      </c>
      <c r="D11" s="46" t="inlineStr">
        <is>
          <t>门、柜、台面、洁具、灯具、家电、系统调试</t>
        </is>
      </c>
      <c r="E11" s="46" t="inlineStr">
        <is>
          <t>全屋定制、橱柜、台面、洁具、灯具、厨电、洗烘、净水、电梯调试</t>
        </is>
      </c>
      <c r="F11" s="46" t="inlineStr">
        <is>
          <t>地毯摆件绿植</t>
        </is>
      </c>
      <c r="G11" s="46" t="inlineStr">
        <is>
          <t>柜体安装、台面开孔、洁具排水、灯具通电、系统调试</t>
        </is>
      </c>
      <c r="H11" s="47" t="inlineStr">
        <is>
          <t>定制、家电、卫浴、灯光、电梯</t>
        </is>
      </c>
    </row>
    <row r="12" ht="62" customHeight="1" s="184">
      <c r="A12" s="48" t="n">
        <v>8</v>
      </c>
      <c r="B12" s="51" t="inlineStr">
        <is>
          <t>家具软装进场</t>
        </is>
      </c>
      <c r="C12" s="51" t="inlineStr">
        <is>
          <t>第8个月以后</t>
        </is>
      </c>
      <c r="D12" s="51" t="inlineStr">
        <is>
          <t>沙发、床、餐桌、茶桌、窗帘、地毯、装饰品</t>
        </is>
      </c>
      <c r="E12" s="51" t="inlineStr">
        <is>
          <t>床垫、床、沙发、餐桌椅、茶桌、窗帘</t>
        </is>
      </c>
      <c r="F12" s="51" t="inlineStr">
        <is>
          <t>无</t>
        </is>
      </c>
      <c r="G12" s="51" t="inlineStr">
        <is>
          <t>尺寸、色彩、动线、地下室湿度稳定后再进家具</t>
        </is>
      </c>
      <c r="H12" s="52" t="inlineStr">
        <is>
          <t>家具软装一期、延期采购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style="184" min="1" max="1"/>
    <col width="24" customWidth="1" style="184" min="2" max="2"/>
    <col width="36" customWidth="1" style="184" min="3" max="3"/>
    <col width="14" customWidth="1" style="184" min="4" max="4"/>
    <col width="14" customWidth="1" style="184" min="5" max="5"/>
    <col width="14" customWidth="1" style="184" min="6" max="6"/>
    <col width="30" customWidth="1" style="184" min="7" max="7"/>
    <col width="34" customWidth="1" style="184" min="8" max="8"/>
  </cols>
  <sheetData>
    <row r="1" ht="30" customHeight="1" s="184">
      <c r="A1" s="101" t="inlineStr">
        <is>
          <t>按楼层拆解预算与采购重点</t>
        </is>
      </c>
      <c r="B1" s="1" t="n"/>
      <c r="C1" s="1" t="n"/>
      <c r="D1" s="1" t="n"/>
      <c r="E1" s="1" t="n"/>
      <c r="F1" s="1" t="n"/>
      <c r="G1" s="1" t="n"/>
      <c r="H1" s="1" t="n"/>
    </row>
    <row r="3" ht="24" customHeight="1" s="184">
      <c r="A3" s="110" t="inlineStr">
        <is>
          <t>楼层</t>
        </is>
      </c>
      <c r="B3" s="111" t="inlineStr">
        <is>
          <t>主要空间</t>
        </is>
      </c>
      <c r="C3" s="111" t="inlineStr">
        <is>
          <t>必须先做</t>
        </is>
      </c>
      <c r="D3" s="111" t="inlineStr">
        <is>
          <t>建议预算下限</t>
        </is>
      </c>
      <c r="E3" s="111" t="inlineStr">
        <is>
          <t>建议预算上限</t>
        </is>
      </c>
      <c r="F3" s="111" t="inlineStr">
        <is>
          <t>控制预算</t>
        </is>
      </c>
      <c r="G3" s="111" t="inlineStr">
        <is>
          <t>可省项</t>
        </is>
      </c>
      <c r="H3" s="112" t="inlineStr">
        <is>
          <t>不可省项</t>
        </is>
      </c>
    </row>
    <row r="4">
      <c r="A4" s="43" t="inlineStr">
        <is>
          <t>1F</t>
        </is>
      </c>
      <c r="B4" s="46" t="inlineStr">
        <is>
          <t>客餐厨、公卫、花园/入户</t>
        </is>
      </c>
      <c r="C4" s="46" t="inlineStr">
        <is>
          <t>厨房布局、厨电尺寸、水电、客餐厅主材、橱柜、入户收纳</t>
        </is>
      </c>
      <c r="D4" s="190" t="n">
        <v>220000</v>
      </c>
      <c r="E4" s="190" t="n">
        <v>260000</v>
      </c>
      <c r="F4" s="190" t="n">
        <v>240000</v>
      </c>
      <c r="G4" s="46" t="inlineStr">
        <is>
          <t>复杂背景墙、进口砖、高价装饰灯</t>
        </is>
      </c>
      <c r="H4" s="47" t="inlineStr">
        <is>
          <t>厨房、餐厅动线、洗碗机/净水、地漏、防水</t>
        </is>
      </c>
    </row>
    <row r="5">
      <c r="A5" s="43" t="inlineStr">
        <is>
          <t>2F</t>
        </is>
      </c>
      <c r="B5" s="46" t="inlineStr">
        <is>
          <t>卧室、衣柜、卫浴、露台</t>
        </is>
      </c>
      <c r="C5" s="46" t="inlineStr">
        <is>
          <t>衣柜布局、卫浴坑距、防水、露台排水、卧室地板</t>
        </is>
      </c>
      <c r="D5" s="190" t="n">
        <v>140000</v>
      </c>
      <c r="E5" s="190" t="n">
        <v>180000</v>
      </c>
      <c r="F5" s="190" t="n">
        <v>160000</v>
      </c>
      <c r="G5" s="46" t="inlineStr">
        <is>
          <t>过度造型、昂贵装饰品</t>
        </is>
      </c>
      <c r="H5" s="47" t="inlineStr">
        <is>
          <t>衣柜五金、卫生间防水、露台防水</t>
        </is>
      </c>
    </row>
    <row r="6">
      <c r="A6" s="43" t="inlineStr">
        <is>
          <t>3F</t>
        </is>
      </c>
      <c r="B6" s="46" t="inlineStr">
        <is>
          <t>主卧套房、主卫、洗衣区</t>
        </is>
      </c>
      <c r="C6" s="46" t="inlineStr">
        <is>
          <t>洗衣区上下水、主卫尺寸、主卧衣柜、防水、洗烘尺寸</t>
        </is>
      </c>
      <c r="D6" s="190" t="n">
        <v>180000</v>
      </c>
      <c r="E6" s="190" t="n">
        <v>240000</v>
      </c>
      <c r="F6" s="190" t="n">
        <v>210000</v>
      </c>
      <c r="G6" s="46" t="inlineStr">
        <is>
          <t>复杂床头背景、高价单椅</t>
        </is>
      </c>
      <c r="H6" s="47" t="inlineStr">
        <is>
          <t>床垫、主卫、洗衣区地漏和防溢水</t>
        </is>
      </c>
    </row>
    <row r="7">
      <c r="A7" s="43" t="inlineStr">
        <is>
          <t>B1</t>
        </is>
      </c>
      <c r="B7" s="46" t="inlineStr">
        <is>
          <t>茶室、吧台、休闲区、电梯厅</t>
        </is>
      </c>
      <c r="C7" s="46" t="inlineStr">
        <is>
          <t>防潮排水、除湿新风、茶室/吧台上下水、电梯厅</t>
        </is>
      </c>
      <c r="D7" s="190" t="n">
        <v>130000</v>
      </c>
      <c r="E7" s="190" t="n">
        <v>170000</v>
      </c>
      <c r="F7" s="190" t="n">
        <v>150000</v>
      </c>
      <c r="G7" s="46" t="inlineStr">
        <is>
          <t>影音系统、酒柜、展示柜可二期</t>
        </is>
      </c>
      <c r="H7" s="47" t="inlineStr">
        <is>
          <t>防潮、防霉、除湿、新风、排水</t>
        </is>
      </c>
    </row>
    <row r="8">
      <c r="A8" s="43" t="inlineStr">
        <is>
          <t>B2</t>
        </is>
      </c>
      <c r="B8" s="46" t="inlineStr">
        <is>
          <t>功能区、储物、设备/休闲空间</t>
        </is>
      </c>
      <c r="C8" s="46" t="inlineStr">
        <is>
          <t>防潮排水、储物系统、基础照明、网络电源预留</t>
        </is>
      </c>
      <c r="D8" s="190" t="n">
        <v>100000</v>
      </c>
      <c r="E8" s="190" t="n">
        <v>140000</v>
      </c>
      <c r="F8" s="190" t="n">
        <v>120000</v>
      </c>
      <c r="G8" s="46" t="inlineStr">
        <is>
          <t>大型影音、收藏展示、豪华吧台</t>
        </is>
      </c>
      <c r="H8" s="47" t="inlineStr">
        <is>
          <t>除湿排水、墙地面防潮、储物通风</t>
        </is>
      </c>
    </row>
    <row r="9">
      <c r="A9" s="48" t="inlineStr">
        <is>
          <t>全屋系统</t>
        </is>
      </c>
      <c r="B9" s="51" t="inlineStr">
        <is>
          <t>电梯、空调、地暖、新风、弱电、设计、预备金</t>
        </is>
      </c>
      <c r="C9" s="51" t="inlineStr">
        <is>
          <t>开工前系统定案，隐蔽工程优先</t>
        </is>
      </c>
      <c r="D9" s="192" t="n">
        <v>310000</v>
      </c>
      <c r="E9" s="192" t="n">
        <v>390000</v>
      </c>
      <c r="F9" s="192" t="n">
        <v>320000</v>
      </c>
      <c r="G9" s="51" t="inlineStr">
        <is>
          <t>复杂轿厢装饰、高级智能屏幕</t>
        </is>
      </c>
      <c r="H9" s="52" t="inlineStr">
        <is>
          <t>电梯稳定性、暖通安装、弱电覆盖、预备金</t>
        </is>
      </c>
    </row>
    <row r="11">
      <c r="A11" s="117" t="inlineStr">
        <is>
          <t>合计</t>
        </is>
      </c>
      <c r="B11" s="117" t="str"/>
      <c r="C11" s="117" t="str"/>
      <c r="D11" s="195">
        <f>SUM(D4:D9)</f>
        <v/>
      </c>
      <c r="E11" s="195">
        <f>SUM(E4:E9)</f>
        <v/>
      </c>
      <c r="F11" s="195">
        <f>SUM(F4:F9)</f>
        <v/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style="184" min="1" max="1"/>
    <col width="30" customWidth="1" style="184" min="2" max="2"/>
    <col width="30" customWidth="1" style="184" min="3" max="3"/>
    <col width="42" customWidth="1" style="184" min="4" max="4"/>
    <col width="18" customWidth="1" style="184" min="5" max="5"/>
  </cols>
  <sheetData>
    <row r="1" ht="30" customHeight="1" s="184">
      <c r="A1" s="129" t="inlineStr">
        <is>
          <t>品牌推荐与选择重点</t>
        </is>
      </c>
      <c r="B1" s="1" t="n"/>
      <c r="C1" s="1" t="n"/>
      <c r="D1" s="1" t="n"/>
      <c r="E1" s="1" t="n"/>
    </row>
    <row r="3" ht="24" customHeight="1" s="184">
      <c r="A3" s="138" t="inlineStr">
        <is>
          <t>类别</t>
        </is>
      </c>
      <c r="B3" s="139" t="inlineStr">
        <is>
          <t>性价比推荐</t>
        </is>
      </c>
      <c r="C3" s="139" t="inlineStr">
        <is>
          <t>中高配推荐</t>
        </is>
      </c>
      <c r="D3" s="139" t="inlineStr">
        <is>
          <t>选择重点</t>
        </is>
      </c>
      <c r="E3" s="140" t="inlineStr">
        <is>
          <t>适合区域</t>
        </is>
      </c>
    </row>
    <row r="4" ht="42" customHeight="1" s="184">
      <c r="A4" s="43" t="inlineStr">
        <is>
          <t>防水/防潮</t>
        </is>
      </c>
      <c r="B4" s="46" t="inlineStr">
        <is>
          <t>东方雨虹、德高、卓宝</t>
        </is>
      </c>
      <c r="C4" s="46" t="inlineStr">
        <is>
          <t>西卡、马贝、专业地下室防潮公司</t>
        </is>
      </c>
      <c r="D4" s="46" t="inlineStr">
        <is>
          <t>闭水/淋水测试、地下室基层处理、防霉材料</t>
        </is>
      </c>
      <c r="E4" s="47" t="inlineStr">
        <is>
          <t>卫生间、露台、洗衣区、B1/B2</t>
        </is>
      </c>
    </row>
    <row r="5" ht="42" customHeight="1" s="184">
      <c r="A5" s="43" t="inlineStr">
        <is>
          <t>中央空调</t>
        </is>
      </c>
      <c r="B5" s="46" t="inlineStr">
        <is>
          <t>格力、美的、海尔、海信日立</t>
        </is>
      </c>
      <c r="C5" s="46" t="inlineStr">
        <is>
          <t>大金、日立、三菱电机</t>
        </is>
      </c>
      <c r="D5" s="46" t="inlineStr">
        <is>
          <t>安装质量、冷凝水排水、检修口、售后</t>
        </is>
      </c>
      <c r="E5" s="47" t="inlineStr">
        <is>
          <t>全屋</t>
        </is>
      </c>
    </row>
    <row r="6" ht="42" customHeight="1" s="184">
      <c r="A6" s="43" t="inlineStr">
        <is>
          <t>地暖</t>
        </is>
      </c>
      <c r="B6" s="46" t="inlineStr">
        <is>
          <t>伟星、日丰、保利、林内、能率</t>
        </is>
      </c>
      <c r="C6" s="46" t="inlineStr">
        <is>
          <t>威能、博世、菲斯曼、瑞好</t>
        </is>
      </c>
      <c r="D6" s="46" t="inlineStr">
        <is>
          <t>锅炉、分集水器、打压测试、地面高度</t>
        </is>
      </c>
      <c r="E6" s="47" t="inlineStr">
        <is>
          <t>1F-3F为主</t>
        </is>
      </c>
    </row>
    <row r="7" ht="42" customHeight="1" s="184">
      <c r="A7" s="43" t="inlineStr">
        <is>
          <t>新风/除湿</t>
        </is>
      </c>
      <c r="B7" s="46" t="inlineStr">
        <is>
          <t>远大、兰舍、美的、格力</t>
        </is>
      </c>
      <c r="C7" s="46" t="inlineStr">
        <is>
          <t>松下、百朗、霍尼韦尔、德业、松井、浦力适</t>
        </is>
      </c>
      <c r="D7" s="46" t="inlineStr">
        <is>
          <t>地下室独立除湿、接排水、风量匹配</t>
        </is>
      </c>
      <c r="E7" s="47" t="inlineStr">
        <is>
          <t>全屋/B1/B2</t>
        </is>
      </c>
    </row>
    <row r="8" ht="42" customHeight="1" s="184">
      <c r="A8" s="43" t="inlineStr">
        <is>
          <t>电梯</t>
        </is>
      </c>
      <c r="B8" s="46" t="inlineStr">
        <is>
          <t>西奥、康力、东南、巨人通力</t>
        </is>
      </c>
      <c r="C8" s="46" t="inlineStr">
        <is>
          <t>通力、迅达、蒂升、奥的斯</t>
        </is>
      </c>
      <c r="D8" s="46" t="inlineStr">
        <is>
          <t>本地维保、停电救援、噪音、井道条件</t>
        </is>
      </c>
      <c r="E8" s="47" t="inlineStr">
        <is>
          <t>全屋五层</t>
        </is>
      </c>
    </row>
    <row r="9" ht="42" customHeight="1" s="184">
      <c r="A9" s="43" t="inlineStr">
        <is>
          <t>瓷砖</t>
        </is>
      </c>
      <c r="B9" s="46" t="inlineStr">
        <is>
          <t>东鹏、冠珠、蒙娜丽莎</t>
        </is>
      </c>
      <c r="C9" s="46" t="inlineStr">
        <is>
          <t>诺贝尔、马可波罗</t>
        </is>
      </c>
      <c r="D9" s="46" t="inlineStr">
        <is>
          <t>防滑、耐磨、好清洁，地下室防潮优先</t>
        </is>
      </c>
      <c r="E9" s="47" t="inlineStr">
        <is>
          <t>1F、厨卫、地下室</t>
        </is>
      </c>
    </row>
    <row r="10" ht="42" customHeight="1" s="184">
      <c r="A10" s="43" t="inlineStr">
        <is>
          <t>地板</t>
        </is>
      </c>
      <c r="B10" s="46" t="inlineStr">
        <is>
          <t>圣象、大自然、生活家</t>
        </is>
      </c>
      <c r="C10" s="46" t="inlineStr">
        <is>
          <t>书香门地、高端实木复合</t>
        </is>
      </c>
      <c r="D10" s="46" t="inlineStr">
        <is>
          <t>卧室可用，地下室不建议实木</t>
        </is>
      </c>
      <c r="E10" s="47" t="inlineStr">
        <is>
          <t>2F/3F卧室</t>
        </is>
      </c>
    </row>
    <row r="11" ht="42" customHeight="1" s="184">
      <c r="A11" s="43" t="inlineStr">
        <is>
          <t>全屋定制</t>
        </is>
      </c>
      <c r="B11" s="46" t="inlineStr">
        <is>
          <t>本地工厂+兔宝宝/千年舟/莫干山/露水河</t>
        </is>
      </c>
      <c r="C11" s="46" t="inlineStr">
        <is>
          <t>欧派、索菲亚、志邦、金牌</t>
        </is>
      </c>
      <c r="D11" s="46" t="inlineStr">
        <is>
          <t>板材环保、五金、封边、地下室防潮</t>
        </is>
      </c>
      <c r="E11" s="47" t="inlineStr">
        <is>
          <t>厨房、卧室、地下室</t>
        </is>
      </c>
    </row>
    <row r="12" ht="42" customHeight="1" s="184">
      <c r="A12" s="43" t="inlineStr">
        <is>
          <t>五金</t>
        </is>
      </c>
      <c r="B12" s="46" t="inlineStr">
        <is>
          <t>DTC、悍高、潜水艇</t>
        </is>
      </c>
      <c r="C12" s="46" t="inlineStr">
        <is>
          <t>百隆、海蒂诗、摩恩</t>
        </is>
      </c>
      <c r="D12" s="46" t="inlineStr">
        <is>
          <t>铰链滑轨、地漏、角阀、止逆阀不要省</t>
        </is>
      </c>
      <c r="E12" s="47" t="inlineStr">
        <is>
          <t>柜体、卫浴、厨房</t>
        </is>
      </c>
    </row>
    <row r="13" ht="42" customHeight="1" s="184">
      <c r="A13" s="43" t="inlineStr">
        <is>
          <t>厨电</t>
        </is>
      </c>
      <c r="B13" s="46" t="inlineStr">
        <is>
          <t>华帝、美的、方太</t>
        </is>
      </c>
      <c r="C13" s="46" t="inlineStr">
        <is>
          <t>老板、西门子、博世</t>
        </is>
      </c>
      <c r="D13" s="46" t="inlineStr">
        <is>
          <t>先定尺寸再做水电和柜体</t>
        </is>
      </c>
      <c r="E13" s="47" t="inlineStr">
        <is>
          <t>1F厨房</t>
        </is>
      </c>
    </row>
    <row r="14" ht="42" customHeight="1" s="184">
      <c r="A14" s="43" t="inlineStr">
        <is>
          <t>洗烘</t>
        </is>
      </c>
      <c r="B14" s="46" t="inlineStr">
        <is>
          <t>小天鹅、松下</t>
        </is>
      </c>
      <c r="C14" s="46" t="inlineStr">
        <is>
          <t>西门子、博世、LG</t>
        </is>
      </c>
      <c r="D14" s="46" t="inlineStr">
        <is>
          <t>建议洗烘套装，预留地漏和防溢水</t>
        </is>
      </c>
      <c r="E14" s="47" t="inlineStr">
        <is>
          <t>3F洗衣区</t>
        </is>
      </c>
    </row>
    <row r="15" ht="42" customHeight="1" s="184">
      <c r="A15" s="43" t="inlineStr">
        <is>
          <t>卫浴</t>
        </is>
      </c>
      <c r="B15" s="46" t="inlineStr">
        <is>
          <t>九牧、恒洁、箭牌、法恩莎</t>
        </is>
      </c>
      <c r="C15" s="46" t="inlineStr">
        <is>
          <t>TOTO、科勒、汉斯格雅、高仪</t>
        </is>
      </c>
      <c r="D15" s="46" t="inlineStr">
        <is>
          <t>主卫可中高配，次卫国产中高配即可</t>
        </is>
      </c>
      <c r="E15" s="47" t="inlineStr">
        <is>
          <t>各层卫生间</t>
        </is>
      </c>
    </row>
    <row r="16" ht="42" customHeight="1" s="184">
      <c r="A16" s="43" t="inlineStr">
        <is>
          <t>灯具/开关</t>
        </is>
      </c>
      <c r="B16" s="46" t="inlineStr">
        <is>
          <t>雷士、欧普、公牛高端</t>
        </is>
      </c>
      <c r="C16" s="46" t="inlineStr">
        <is>
          <t>西顿、飞利浦、施耐德、西门子、罗格朗</t>
        </is>
      </c>
      <c r="D16" s="46" t="inlineStr">
        <is>
          <t>控制无主灯预算，智能开关需零火线</t>
        </is>
      </c>
      <c r="E16" s="47" t="inlineStr">
        <is>
          <t>全屋</t>
        </is>
      </c>
    </row>
    <row r="17" ht="42" customHeight="1" s="184">
      <c r="A17" s="43" t="inlineStr">
        <is>
          <t>网络/智能</t>
        </is>
      </c>
      <c r="B17" s="46" t="inlineStr">
        <is>
          <t>TP-Link、H3C、小米、涂鸦</t>
        </is>
      </c>
      <c r="C17" s="46" t="inlineStr">
        <is>
          <t>UniFi、华为、Aqara、海康威视</t>
        </is>
      </c>
      <c r="D17" s="46" t="inlineStr">
        <is>
          <t>每层AP、地下室布点、摄像头预留</t>
        </is>
      </c>
      <c r="E17" s="47" t="inlineStr">
        <is>
          <t>全屋五层</t>
        </is>
      </c>
    </row>
    <row r="18" ht="42" customHeight="1" s="184">
      <c r="A18" s="48" t="inlineStr">
        <is>
          <t>家具床垫</t>
        </is>
      </c>
      <c r="B18" s="51" t="inlineStr">
        <is>
          <t>源氏木语、宜家、喜临门、雅兰</t>
        </is>
      </c>
      <c r="C18" s="51" t="inlineStr">
        <is>
          <t>顾家、舒达、金可儿、慕思</t>
        </is>
      </c>
      <c r="D18" s="51" t="inlineStr">
        <is>
          <t>床垫优先，装饰软装后期补</t>
        </is>
      </c>
      <c r="E18" s="52" t="inlineStr">
        <is>
          <t>客餐厅、卧室、茶室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style="184" min="1" max="1"/>
    <col width="18" customWidth="1" style="184" min="2" max="2"/>
    <col width="40" customWidth="1" style="184" min="3" max="3"/>
    <col width="40" customWidth="1" style="184" min="4" max="4"/>
    <col width="18" customWidth="1" style="184" min="5" max="5"/>
  </cols>
  <sheetData>
    <row r="1" ht="30" customHeight="1" s="184">
      <c r="A1" s="151" t="inlineStr">
        <is>
          <t>避坑清单：不能买晚、不能买早、可以延期</t>
        </is>
      </c>
      <c r="B1" s="1" t="n"/>
      <c r="C1" s="1" t="n"/>
      <c r="D1" s="1" t="n"/>
      <c r="E1" s="1" t="n"/>
    </row>
    <row r="3" ht="24" customHeight="1" s="184">
      <c r="A3" s="160" t="inlineStr">
        <is>
          <t>类型</t>
        </is>
      </c>
      <c r="B3" s="161" t="inlineStr">
        <is>
          <t>项目</t>
        </is>
      </c>
      <c r="C3" s="161" t="inlineStr">
        <is>
          <t>为什么要注意</t>
        </is>
      </c>
      <c r="D3" s="161" t="inlineStr">
        <is>
          <t>建议处理</t>
        </is>
      </c>
      <c r="E3" s="162" t="inlineStr">
        <is>
          <t>采购时机</t>
        </is>
      </c>
    </row>
    <row r="4" ht="46" customHeight="1" s="184">
      <c r="A4" s="43" t="inlineStr">
        <is>
          <t>不能买晚</t>
        </is>
      </c>
      <c r="B4" s="46" t="inlineStr">
        <is>
          <t>电梯</t>
        </is>
      </c>
      <c r="C4" s="46" t="inlineStr">
        <is>
          <t>井道、门洞、供电、底坑、顶层高度会受影响</t>
        </is>
      </c>
      <c r="D4" s="46" t="inlineStr">
        <is>
          <t>开工前锁定品牌和井道方案</t>
        </is>
      </c>
      <c r="E4" s="47" t="inlineStr">
        <is>
          <t>开工前1-2个月</t>
        </is>
      </c>
    </row>
    <row r="5" ht="46" customHeight="1" s="184">
      <c r="A5" s="43" t="inlineStr">
        <is>
          <t>不能买晚</t>
        </is>
      </c>
      <c r="B5" s="46" t="inlineStr">
        <is>
          <t>中央空调/新风/除湿</t>
        </is>
      </c>
      <c r="C5" s="46" t="inlineStr">
        <is>
          <t>影响吊顶、管路、风口和检修口</t>
        </is>
      </c>
      <c r="D5" s="46" t="inlineStr">
        <is>
          <t>和设计、水电、吊顶同步深化</t>
        </is>
      </c>
      <c r="E5" s="47" t="inlineStr">
        <is>
          <t>开工前</t>
        </is>
      </c>
    </row>
    <row r="6" ht="46" customHeight="1" s="184">
      <c r="A6" s="43" t="inlineStr">
        <is>
          <t>不能买晚</t>
        </is>
      </c>
      <c r="B6" s="46" t="inlineStr">
        <is>
          <t>厨电尺寸</t>
        </is>
      </c>
      <c r="C6" s="46" t="inlineStr">
        <is>
          <t>影响橱柜尺寸、插座、上下水、燃气位置</t>
        </is>
      </c>
      <c r="D6" s="46" t="inlineStr">
        <is>
          <t>水电前确定型号尺寸，后期再付款安装</t>
        </is>
      </c>
      <c r="E6" s="47" t="inlineStr">
        <is>
          <t>水电前</t>
        </is>
      </c>
    </row>
    <row r="7" ht="46" customHeight="1" s="184">
      <c r="A7" s="43" t="inlineStr">
        <is>
          <t>不能买晚</t>
        </is>
      </c>
      <c r="B7" s="46" t="inlineStr">
        <is>
          <t>智能马桶/浴室柜</t>
        </is>
      </c>
      <c r="C7" s="46" t="inlineStr">
        <is>
          <t>没留电源或上下水高度不对会返工</t>
        </is>
      </c>
      <c r="D7" s="46" t="inlineStr">
        <is>
          <t>水电前确定坑距、电源、上下水高度</t>
        </is>
      </c>
      <c r="E7" s="47" t="inlineStr">
        <is>
          <t>水电前</t>
        </is>
      </c>
    </row>
    <row r="8" ht="46" customHeight="1" s="184">
      <c r="A8" s="43" t="inlineStr">
        <is>
          <t>不能买晚</t>
        </is>
      </c>
      <c r="B8" s="46" t="inlineStr">
        <is>
          <t>网络AP/摄像头/电动窗帘电源</t>
        </is>
      </c>
      <c r="C8" s="46" t="inlineStr">
        <is>
          <t>五层别墅后期补线难看且成本高</t>
        </is>
      </c>
      <c r="D8" s="46" t="inlineStr">
        <is>
          <t>每层AP预留，地下室单独布点</t>
        </is>
      </c>
      <c r="E8" s="47" t="inlineStr">
        <is>
          <t>水电前</t>
        </is>
      </c>
    </row>
    <row r="9" ht="46" customHeight="1" s="184">
      <c r="A9" s="43" t="inlineStr">
        <is>
          <t>不能买晚</t>
        </is>
      </c>
      <c r="B9" s="46" t="inlineStr">
        <is>
          <t>地下室除湿排水</t>
        </is>
      </c>
      <c r="C9" s="46" t="inlineStr">
        <is>
          <t>后期容易变成明管，影响美观和效果</t>
        </is>
      </c>
      <c r="D9" s="46" t="inlineStr">
        <is>
          <t>吊顶前完成除湿管路和排水</t>
        </is>
      </c>
      <c r="E9" s="47" t="inlineStr">
        <is>
          <t>水电/吊顶前</t>
        </is>
      </c>
    </row>
    <row r="10" ht="46" customHeight="1" s="184">
      <c r="A10" s="43" t="inlineStr">
        <is>
          <t>不能买早</t>
        </is>
      </c>
      <c r="B10" s="46" t="inlineStr">
        <is>
          <t>沙发/餐桌/床</t>
        </is>
      </c>
      <c r="C10" s="46" t="inlineStr">
        <is>
          <t>实际尺寸、柜体、动线和墙面颜色还没确定</t>
        </is>
      </c>
      <c r="D10" s="46" t="inlineStr">
        <is>
          <t>硬装后期再买，先看款式即可</t>
        </is>
      </c>
      <c r="E10" s="47" t="inlineStr">
        <is>
          <t>第7-8个月</t>
        </is>
      </c>
    </row>
    <row r="11" ht="46" customHeight="1" s="184">
      <c r="A11" s="43" t="inlineStr">
        <is>
          <t>不能买早</t>
        </is>
      </c>
      <c r="B11" s="46" t="inlineStr">
        <is>
          <t>窗帘</t>
        </is>
      </c>
      <c r="C11" s="46" t="inlineStr">
        <is>
          <t>吊顶和地面完成前尺寸不准</t>
        </is>
      </c>
      <c r="D11" s="46" t="inlineStr">
        <is>
          <t>硬装完成后复尺，再下单安装</t>
        </is>
      </c>
      <c r="E11" s="47" t="inlineStr">
        <is>
          <t>第8个月</t>
        </is>
      </c>
    </row>
    <row r="12" ht="46" customHeight="1" s="184">
      <c r="A12" s="43" t="inlineStr">
        <is>
          <t>不能买早</t>
        </is>
      </c>
      <c r="B12" s="46" t="inlineStr">
        <is>
          <t>地毯/装饰画/摆件</t>
        </is>
      </c>
      <c r="C12" s="46" t="inlineStr">
        <is>
          <t>要等家具和墙面颜色定下来</t>
        </is>
      </c>
      <c r="D12" s="46" t="inlineStr">
        <is>
          <t>入住前后慢慢补</t>
        </is>
      </c>
      <c r="E12" s="47" t="inlineStr">
        <is>
          <t>最后</t>
        </is>
      </c>
    </row>
    <row r="13" ht="46" customHeight="1" s="184">
      <c r="A13" s="43" t="inlineStr">
        <is>
          <t>可延期</t>
        </is>
      </c>
      <c r="B13" s="46" t="inlineStr">
        <is>
          <t>地下室影音/酒柜/展示柜</t>
        </is>
      </c>
      <c r="C13" s="46" t="inlineStr">
        <is>
          <t>预算容易超，可先预留线和电源</t>
        </is>
      </c>
      <c r="D13" s="46" t="inlineStr">
        <is>
          <t>一期只做防潮、网络、电源、基础柜体</t>
        </is>
      </c>
      <c r="E13" s="47" t="inlineStr">
        <is>
          <t>二期</t>
        </is>
      </c>
    </row>
    <row r="14" ht="46" customHeight="1" s="184">
      <c r="A14" s="43" t="inlineStr">
        <is>
          <t>可延期</t>
        </is>
      </c>
      <c r="B14" s="46" t="inlineStr">
        <is>
          <t>花园大型景观</t>
        </is>
      </c>
      <c r="C14" s="46" t="inlineStr">
        <is>
          <t>预算弹性大，容易吞掉主预算</t>
        </is>
      </c>
      <c r="D14" s="46" t="inlineStr">
        <is>
          <t>一期先做排水、防水插座、基础铺装</t>
        </is>
      </c>
      <c r="E14" s="47" t="inlineStr">
        <is>
          <t>二期</t>
        </is>
      </c>
    </row>
    <row r="15" ht="46" customHeight="1" s="184">
      <c r="A15" s="43" t="inlineStr">
        <is>
          <t>必须验收</t>
        </is>
      </c>
      <c r="B15" s="46" t="inlineStr">
        <is>
          <t>地下室防潮</t>
        </is>
      </c>
      <c r="C15" s="46" t="inlineStr">
        <is>
          <t>嘉兴潮湿，地下两层最容易霉变返工</t>
        </is>
      </c>
      <c r="D15" s="46" t="inlineStr">
        <is>
          <t>防水、防潮、防霉、除湿、新风、排水一起做</t>
        </is>
      </c>
      <c r="E15" s="47" t="inlineStr">
        <is>
          <t>第1-3个月</t>
        </is>
      </c>
    </row>
    <row r="16" ht="46" customHeight="1" s="184">
      <c r="A16" s="43" t="inlineStr">
        <is>
          <t>必须验收</t>
        </is>
      </c>
      <c r="B16" s="46" t="inlineStr">
        <is>
          <t>洗衣区</t>
        </is>
      </c>
      <c r="C16" s="46" t="inlineStr">
        <is>
          <t>漏水会影响楼下和墙体</t>
        </is>
      </c>
      <c r="D16" s="46" t="inlineStr">
        <is>
          <t>地漏、防水、防溢水报警、检修口</t>
        </is>
      </c>
      <c r="E16" s="47" t="inlineStr">
        <is>
          <t>水电/防水/安装</t>
        </is>
      </c>
    </row>
    <row r="17" ht="46" customHeight="1" s="184">
      <c r="A17" s="48" t="inlineStr">
        <is>
          <t>必须验收</t>
        </is>
      </c>
      <c r="B17" s="51" t="inlineStr">
        <is>
          <t>地漏/角阀/止逆阀</t>
        </is>
      </c>
      <c r="C17" s="51" t="inlineStr">
        <is>
          <t>单价不高但故障后维修麻烦</t>
        </is>
      </c>
      <c r="D17" s="51" t="inlineStr">
        <is>
          <t>买品牌件，安装后试水检查</t>
        </is>
      </c>
      <c r="E17" s="52" t="inlineStr">
        <is>
          <t>水电/瓦工/安装</t>
        </is>
      </c>
    </row>
  </sheetData>
  <mergeCells count="1">
    <mergeCell ref="A1:E1"/>
  </mergeCells>
  <conditionalFormatting sqref="A4:A17">
    <cfRule type="expression" priority="1" dxfId="0">
      <formula>$A4="不能买晚"</formula>
    </cfRule>
    <cfRule type="expression" priority="2" dxfId="4">
      <formula>$A4="不能买早"</formula>
    </cfRule>
    <cfRule type="expression" priority="3" dxfId="5">
      <formula>$A4="可延期"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style="184" min="1" max="1"/>
    <col width="18" customWidth="1" style="184" min="2" max="2"/>
    <col width="22" customWidth="1" style="184" min="3" max="3"/>
    <col width="14" customWidth="1" style="184" min="4" max="4"/>
    <col width="14" customWidth="1" style="184" min="5" max="5"/>
    <col width="14" customWidth="1" style="184" min="6" max="6"/>
    <col width="20" customWidth="1" style="184" min="7" max="7"/>
    <col width="18" customWidth="1" style="184" min="8" max="8"/>
    <col width="14" customWidth="1" style="184" min="9" max="9"/>
    <col width="12" customWidth="1" style="184" min="10" max="10"/>
    <col width="30" customWidth="1" style="184" min="11" max="11"/>
  </cols>
  <sheetData>
    <row r="1" ht="30" customHeight="1" s="184">
      <c r="A1" s="9" t="inlineStr">
        <is>
          <t>询价对比模板：拿给装修公司/供应商逐项报价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69" t="inlineStr">
        <is>
          <t>使用建议：不要接受一个笼统的“全包120万”，请供应商按项目拆出品牌型号、安装、辅材、质保、付款节点。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4" customHeight="1" s="184">
      <c r="A4" s="178" t="inlineStr">
        <is>
          <t>供应商</t>
        </is>
      </c>
      <c r="B4" s="179" t="inlineStr">
        <is>
          <t>项目/品类</t>
        </is>
      </c>
      <c r="C4" s="179" t="inlineStr">
        <is>
          <t>品牌型号</t>
        </is>
      </c>
      <c r="D4" s="179" t="inlineStr">
        <is>
          <t>报价金额</t>
        </is>
      </c>
      <c r="E4" s="179" t="inlineStr">
        <is>
          <t>报价是否含安装</t>
        </is>
      </c>
      <c r="F4" s="179" t="inlineStr">
        <is>
          <t>报价是否含辅材</t>
        </is>
      </c>
      <c r="G4" s="179" t="inlineStr">
        <is>
          <t>质保/维保</t>
        </is>
      </c>
      <c r="H4" s="179" t="inlineStr">
        <is>
          <t>付款节点</t>
        </is>
      </c>
      <c r="I4" s="179" t="inlineStr">
        <is>
          <t>交付周期</t>
        </is>
      </c>
      <c r="J4" s="179" t="inlineStr">
        <is>
          <t>是否推荐</t>
        </is>
      </c>
      <c r="K4" s="180" t="inlineStr">
        <is>
          <t>备注</t>
        </is>
      </c>
    </row>
    <row r="5">
      <c r="A5" s="43" t="str"/>
      <c r="B5" s="46" t="str"/>
      <c r="C5" s="46" t="str"/>
      <c r="D5" s="190" t="str"/>
      <c r="E5" s="46" t="inlineStr">
        <is>
          <t>是/否</t>
        </is>
      </c>
      <c r="F5" s="46" t="inlineStr">
        <is>
          <t>是/否</t>
        </is>
      </c>
      <c r="G5" s="46" t="str"/>
      <c r="H5" s="46" t="str"/>
      <c r="I5" s="46" t="str"/>
      <c r="J5" s="46" t="inlineStr">
        <is>
          <t>待定</t>
        </is>
      </c>
      <c r="K5" s="47" t="str"/>
    </row>
    <row r="6">
      <c r="A6" s="43" t="str"/>
      <c r="B6" s="46" t="str"/>
      <c r="C6" s="46" t="str"/>
      <c r="D6" s="190" t="str"/>
      <c r="E6" s="46" t="inlineStr">
        <is>
          <t>是/否</t>
        </is>
      </c>
      <c r="F6" s="46" t="inlineStr">
        <is>
          <t>是/否</t>
        </is>
      </c>
      <c r="G6" s="46" t="str"/>
      <c r="H6" s="46" t="str"/>
      <c r="I6" s="46" t="str"/>
      <c r="J6" s="46" t="inlineStr">
        <is>
          <t>待定</t>
        </is>
      </c>
      <c r="K6" s="47" t="str"/>
    </row>
    <row r="7">
      <c r="A7" s="43" t="str"/>
      <c r="B7" s="46" t="str"/>
      <c r="C7" s="46" t="str"/>
      <c r="D7" s="190" t="str"/>
      <c r="E7" s="46" t="inlineStr">
        <is>
          <t>是/否</t>
        </is>
      </c>
      <c r="F7" s="46" t="inlineStr">
        <is>
          <t>是/否</t>
        </is>
      </c>
      <c r="G7" s="46" t="str"/>
      <c r="H7" s="46" t="str"/>
      <c r="I7" s="46" t="str"/>
      <c r="J7" s="46" t="inlineStr">
        <is>
          <t>待定</t>
        </is>
      </c>
      <c r="K7" s="47" t="str"/>
    </row>
    <row r="8">
      <c r="A8" s="43" t="str"/>
      <c r="B8" s="46" t="str"/>
      <c r="C8" s="46" t="str"/>
      <c r="D8" s="190" t="str"/>
      <c r="E8" s="46" t="inlineStr">
        <is>
          <t>是/否</t>
        </is>
      </c>
      <c r="F8" s="46" t="inlineStr">
        <is>
          <t>是/否</t>
        </is>
      </c>
      <c r="G8" s="46" t="str"/>
      <c r="H8" s="46" t="str"/>
      <c r="I8" s="46" t="str"/>
      <c r="J8" s="46" t="inlineStr">
        <is>
          <t>待定</t>
        </is>
      </c>
      <c r="K8" s="47" t="str"/>
    </row>
    <row r="9">
      <c r="A9" s="43" t="str"/>
      <c r="B9" s="46" t="str"/>
      <c r="C9" s="46" t="str"/>
      <c r="D9" s="190" t="str"/>
      <c r="E9" s="46" t="inlineStr">
        <is>
          <t>是/否</t>
        </is>
      </c>
      <c r="F9" s="46" t="inlineStr">
        <is>
          <t>是/否</t>
        </is>
      </c>
      <c r="G9" s="46" t="str"/>
      <c r="H9" s="46" t="str"/>
      <c r="I9" s="46" t="str"/>
      <c r="J9" s="46" t="inlineStr">
        <is>
          <t>待定</t>
        </is>
      </c>
      <c r="K9" s="47" t="str"/>
    </row>
    <row r="10">
      <c r="A10" s="43" t="str"/>
      <c r="B10" s="46" t="str"/>
      <c r="C10" s="46" t="str"/>
      <c r="D10" s="190" t="str"/>
      <c r="E10" s="46" t="inlineStr">
        <is>
          <t>是/否</t>
        </is>
      </c>
      <c r="F10" s="46" t="inlineStr">
        <is>
          <t>是/否</t>
        </is>
      </c>
      <c r="G10" s="46" t="str"/>
      <c r="H10" s="46" t="str"/>
      <c r="I10" s="46" t="str"/>
      <c r="J10" s="46" t="inlineStr">
        <is>
          <t>待定</t>
        </is>
      </c>
      <c r="K10" s="47" t="str"/>
    </row>
    <row r="11">
      <c r="A11" s="43" t="str"/>
      <c r="B11" s="46" t="str"/>
      <c r="C11" s="46" t="str"/>
      <c r="D11" s="190" t="str"/>
      <c r="E11" s="46" t="inlineStr">
        <is>
          <t>是/否</t>
        </is>
      </c>
      <c r="F11" s="46" t="inlineStr">
        <is>
          <t>是/否</t>
        </is>
      </c>
      <c r="G11" s="46" t="str"/>
      <c r="H11" s="46" t="str"/>
      <c r="I11" s="46" t="str"/>
      <c r="J11" s="46" t="inlineStr">
        <is>
          <t>待定</t>
        </is>
      </c>
      <c r="K11" s="47" t="str"/>
    </row>
    <row r="12">
      <c r="A12" s="43" t="str"/>
      <c r="B12" s="46" t="str"/>
      <c r="C12" s="46" t="str"/>
      <c r="D12" s="190" t="str"/>
      <c r="E12" s="46" t="inlineStr">
        <is>
          <t>是/否</t>
        </is>
      </c>
      <c r="F12" s="46" t="inlineStr">
        <is>
          <t>是/否</t>
        </is>
      </c>
      <c r="G12" s="46" t="str"/>
      <c r="H12" s="46" t="str"/>
      <c r="I12" s="46" t="str"/>
      <c r="J12" s="46" t="inlineStr">
        <is>
          <t>待定</t>
        </is>
      </c>
      <c r="K12" s="47" t="str"/>
    </row>
    <row r="13">
      <c r="A13" s="43" t="str"/>
      <c r="B13" s="46" t="str"/>
      <c r="C13" s="46" t="str"/>
      <c r="D13" s="190" t="str"/>
      <c r="E13" s="46" t="inlineStr">
        <is>
          <t>是/否</t>
        </is>
      </c>
      <c r="F13" s="46" t="inlineStr">
        <is>
          <t>是/否</t>
        </is>
      </c>
      <c r="G13" s="46" t="str"/>
      <c r="H13" s="46" t="str"/>
      <c r="I13" s="46" t="str"/>
      <c r="J13" s="46" t="inlineStr">
        <is>
          <t>待定</t>
        </is>
      </c>
      <c r="K13" s="47" t="str"/>
    </row>
    <row r="14">
      <c r="A14" s="43" t="str"/>
      <c r="B14" s="46" t="str"/>
      <c r="C14" s="46" t="str"/>
      <c r="D14" s="190" t="str"/>
      <c r="E14" s="46" t="inlineStr">
        <is>
          <t>是/否</t>
        </is>
      </c>
      <c r="F14" s="46" t="inlineStr">
        <is>
          <t>是/否</t>
        </is>
      </c>
      <c r="G14" s="46" t="str"/>
      <c r="H14" s="46" t="str"/>
      <c r="I14" s="46" t="str"/>
      <c r="J14" s="46" t="inlineStr">
        <is>
          <t>待定</t>
        </is>
      </c>
      <c r="K14" s="47" t="str"/>
    </row>
    <row r="15">
      <c r="A15" s="43" t="str"/>
      <c r="B15" s="46" t="str"/>
      <c r="C15" s="46" t="str"/>
      <c r="D15" s="190" t="str"/>
      <c r="E15" s="46" t="inlineStr">
        <is>
          <t>是/否</t>
        </is>
      </c>
      <c r="F15" s="46" t="inlineStr">
        <is>
          <t>是/否</t>
        </is>
      </c>
      <c r="G15" s="46" t="str"/>
      <c r="H15" s="46" t="str"/>
      <c r="I15" s="46" t="str"/>
      <c r="J15" s="46" t="inlineStr">
        <is>
          <t>待定</t>
        </is>
      </c>
      <c r="K15" s="47" t="str"/>
    </row>
    <row r="16">
      <c r="A16" s="43" t="str"/>
      <c r="B16" s="46" t="str"/>
      <c r="C16" s="46" t="str"/>
      <c r="D16" s="190" t="str"/>
      <c r="E16" s="46" t="inlineStr">
        <is>
          <t>是/否</t>
        </is>
      </c>
      <c r="F16" s="46" t="inlineStr">
        <is>
          <t>是/否</t>
        </is>
      </c>
      <c r="G16" s="46" t="str"/>
      <c r="H16" s="46" t="str"/>
      <c r="I16" s="46" t="str"/>
      <c r="J16" s="46" t="inlineStr">
        <is>
          <t>待定</t>
        </is>
      </c>
      <c r="K16" s="47" t="str"/>
    </row>
    <row r="17">
      <c r="A17" s="43" t="str"/>
      <c r="B17" s="46" t="str"/>
      <c r="C17" s="46" t="str"/>
      <c r="D17" s="190" t="str"/>
      <c r="E17" s="46" t="inlineStr">
        <is>
          <t>是/否</t>
        </is>
      </c>
      <c r="F17" s="46" t="inlineStr">
        <is>
          <t>是/否</t>
        </is>
      </c>
      <c r="G17" s="46" t="str"/>
      <c r="H17" s="46" t="str"/>
      <c r="I17" s="46" t="str"/>
      <c r="J17" s="46" t="inlineStr">
        <is>
          <t>待定</t>
        </is>
      </c>
      <c r="K17" s="47" t="str"/>
    </row>
    <row r="18">
      <c r="A18" s="43" t="str"/>
      <c r="B18" s="46" t="str"/>
      <c r="C18" s="46" t="str"/>
      <c r="D18" s="190" t="str"/>
      <c r="E18" s="46" t="inlineStr">
        <is>
          <t>是/否</t>
        </is>
      </c>
      <c r="F18" s="46" t="inlineStr">
        <is>
          <t>是/否</t>
        </is>
      </c>
      <c r="G18" s="46" t="str"/>
      <c r="H18" s="46" t="str"/>
      <c r="I18" s="46" t="str"/>
      <c r="J18" s="46" t="inlineStr">
        <is>
          <t>待定</t>
        </is>
      </c>
      <c r="K18" s="47" t="str"/>
    </row>
    <row r="19">
      <c r="A19" s="43" t="str"/>
      <c r="B19" s="46" t="str"/>
      <c r="C19" s="46" t="str"/>
      <c r="D19" s="190" t="str"/>
      <c r="E19" s="46" t="inlineStr">
        <is>
          <t>是/否</t>
        </is>
      </c>
      <c r="F19" s="46" t="inlineStr">
        <is>
          <t>是/否</t>
        </is>
      </c>
      <c r="G19" s="46" t="str"/>
      <c r="H19" s="46" t="str"/>
      <c r="I19" s="46" t="str"/>
      <c r="J19" s="46" t="inlineStr">
        <is>
          <t>待定</t>
        </is>
      </c>
      <c r="K19" s="47" t="str"/>
    </row>
    <row r="20">
      <c r="A20" s="43" t="str"/>
      <c r="B20" s="46" t="str"/>
      <c r="C20" s="46" t="str"/>
      <c r="D20" s="190" t="str"/>
      <c r="E20" s="46" t="inlineStr">
        <is>
          <t>是/否</t>
        </is>
      </c>
      <c r="F20" s="46" t="inlineStr">
        <is>
          <t>是/否</t>
        </is>
      </c>
      <c r="G20" s="46" t="str"/>
      <c r="H20" s="46" t="str"/>
      <c r="I20" s="46" t="str"/>
      <c r="J20" s="46" t="inlineStr">
        <is>
          <t>待定</t>
        </is>
      </c>
      <c r="K20" s="47" t="str"/>
    </row>
    <row r="21">
      <c r="A21" s="43" t="str"/>
      <c r="B21" s="46" t="str"/>
      <c r="C21" s="46" t="str"/>
      <c r="D21" s="190" t="str"/>
      <c r="E21" s="46" t="inlineStr">
        <is>
          <t>是/否</t>
        </is>
      </c>
      <c r="F21" s="46" t="inlineStr">
        <is>
          <t>是/否</t>
        </is>
      </c>
      <c r="G21" s="46" t="str"/>
      <c r="H21" s="46" t="str"/>
      <c r="I21" s="46" t="str"/>
      <c r="J21" s="46" t="inlineStr">
        <is>
          <t>待定</t>
        </is>
      </c>
      <c r="K21" s="47" t="str"/>
    </row>
    <row r="22">
      <c r="A22" s="43" t="str"/>
      <c r="B22" s="46" t="str"/>
      <c r="C22" s="46" t="str"/>
      <c r="D22" s="190" t="str"/>
      <c r="E22" s="46" t="inlineStr">
        <is>
          <t>是/否</t>
        </is>
      </c>
      <c r="F22" s="46" t="inlineStr">
        <is>
          <t>是/否</t>
        </is>
      </c>
      <c r="G22" s="46" t="str"/>
      <c r="H22" s="46" t="str"/>
      <c r="I22" s="46" t="str"/>
      <c r="J22" s="46" t="inlineStr">
        <is>
          <t>待定</t>
        </is>
      </c>
      <c r="K22" s="47" t="str"/>
    </row>
    <row r="23">
      <c r="A23" s="43" t="str"/>
      <c r="B23" s="46" t="str"/>
      <c r="C23" s="46" t="str"/>
      <c r="D23" s="190" t="str"/>
      <c r="E23" s="46" t="inlineStr">
        <is>
          <t>是/否</t>
        </is>
      </c>
      <c r="F23" s="46" t="inlineStr">
        <is>
          <t>是/否</t>
        </is>
      </c>
      <c r="G23" s="46" t="str"/>
      <c r="H23" s="46" t="str"/>
      <c r="I23" s="46" t="str"/>
      <c r="J23" s="46" t="inlineStr">
        <is>
          <t>待定</t>
        </is>
      </c>
      <c r="K23" s="47" t="str"/>
    </row>
    <row r="24">
      <c r="A24" s="48" t="str"/>
      <c r="B24" s="51" t="str"/>
      <c r="C24" s="51" t="str"/>
      <c r="D24" s="192" t="str"/>
      <c r="E24" s="51" t="inlineStr">
        <is>
          <t>是/否</t>
        </is>
      </c>
      <c r="F24" s="51" t="inlineStr">
        <is>
          <t>是/否</t>
        </is>
      </c>
      <c r="G24" s="51" t="str"/>
      <c r="H24" s="51" t="str"/>
      <c r="I24" s="51" t="str"/>
      <c r="J24" s="51" t="inlineStr">
        <is>
          <t>待定</t>
        </is>
      </c>
      <c r="K24" s="52" t="str"/>
    </row>
  </sheetData>
  <mergeCells count="2">
    <mergeCell ref="A2:K2"/>
    <mergeCell ref="A1:K1"/>
  </mergeCells>
  <dataValidations count="2">
    <dataValidation sqref="J5:J24" showDropDown="0" showInputMessage="0" showErrorMessage="0" allowBlank="0" type="list">
      <formula1>"待定,推荐,不推荐"</formula1>
    </dataValidation>
    <dataValidation sqref="E5:F24" showDropDown="0" showInputMessage="0" showErrorMessage="0" allowBlank="0" type="list">
      <formula1>"是,否,部分包含"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.809999942779541" customWidth="1" style="184" min="1" max="1"/>
    <col width="5.789999961853027" customWidth="1" style="184" min="2" max="2"/>
    <col width="8.609999656677246" customWidth="1" style="184" min="3" max="3"/>
    <col width="9.289999961853027" customWidth="1" style="184" min="4" max="4"/>
  </cols>
  <sheetData>
    <row r="1" ht="24" customHeight="1" s="184">
      <c r="A1" s="26" t="inlineStr">
        <is>
          <t>状态</t>
        </is>
      </c>
      <c r="B1" s="26" t="inlineStr">
        <is>
          <t>优先级</t>
        </is>
      </c>
      <c r="C1" s="26" t="inlineStr">
        <is>
          <t>装修属性</t>
        </is>
      </c>
      <c r="D1" s="26" t="inlineStr">
        <is>
          <t>阶段</t>
        </is>
      </c>
    </row>
    <row r="2">
      <c r="A2" t="inlineStr">
        <is>
          <t>未开始</t>
        </is>
      </c>
      <c r="B2" t="inlineStr">
        <is>
          <t>最高</t>
        </is>
      </c>
      <c r="C2" t="inlineStr">
        <is>
          <t>硬装</t>
        </is>
      </c>
      <c r="D2" t="inlineStr">
        <is>
          <t>0 开工前</t>
        </is>
      </c>
    </row>
    <row r="3">
      <c r="A3" t="inlineStr">
        <is>
          <t>询价中</t>
        </is>
      </c>
      <c r="B3" t="inlineStr">
        <is>
          <t>高</t>
        </is>
      </c>
      <c r="C3" t="inlineStr">
        <is>
          <t>主材</t>
        </is>
      </c>
      <c r="D3" t="inlineStr">
        <is>
          <t>1 拆改土建</t>
        </is>
      </c>
    </row>
    <row r="4">
      <c r="A4" t="inlineStr">
        <is>
          <t>已定方案</t>
        </is>
      </c>
      <c r="B4" t="inlineStr">
        <is>
          <t>中高</t>
        </is>
      </c>
      <c r="C4" t="inlineStr">
        <is>
          <t>系统</t>
        </is>
      </c>
      <c r="D4" t="inlineStr">
        <is>
          <t>2 水电</t>
        </is>
      </c>
    </row>
    <row r="5">
      <c r="A5" t="inlineStr">
        <is>
          <t>已下单</t>
        </is>
      </c>
      <c r="B5" t="inlineStr">
        <is>
          <t>中</t>
        </is>
      </c>
      <c r="C5" t="inlineStr">
        <is>
          <t>定制</t>
        </is>
      </c>
      <c r="D5" t="inlineStr">
        <is>
          <t>3 防水地暖</t>
        </is>
      </c>
    </row>
    <row r="6">
      <c r="A6" t="inlineStr">
        <is>
          <t>已安装</t>
        </is>
      </c>
      <c r="B6" t="inlineStr">
        <is>
          <t>低</t>
        </is>
      </c>
      <c r="C6" t="inlineStr">
        <is>
          <t>家电</t>
        </is>
      </c>
      <c r="D6" t="inlineStr">
        <is>
          <t>4 瓦工</t>
        </is>
      </c>
    </row>
    <row r="7">
      <c r="A7" t="inlineStr">
        <is>
          <t>延期</t>
        </is>
      </c>
      <c r="C7" t="inlineStr">
        <is>
          <t>卫浴</t>
        </is>
      </c>
      <c r="D7" t="inlineStr">
        <is>
          <t>5 木作门窗</t>
        </is>
      </c>
    </row>
    <row r="8">
      <c r="C8" t="inlineStr">
        <is>
          <t>灯光/电气</t>
        </is>
      </c>
      <c r="D8" t="inlineStr">
        <is>
          <t>6 油漆墙面</t>
        </is>
      </c>
    </row>
    <row r="9">
      <c r="C9" t="inlineStr">
        <is>
          <t>弱电</t>
        </is>
      </c>
      <c r="D9" t="inlineStr">
        <is>
          <t>7 安装</t>
        </is>
      </c>
    </row>
    <row r="10">
      <c r="C10" t="inlineStr">
        <is>
          <t>智能</t>
        </is>
      </c>
      <c r="D10" t="inlineStr">
        <is>
          <t>8 软装</t>
        </is>
      </c>
    </row>
    <row r="11">
      <c r="C11" t="inlineStr">
        <is>
          <t>软装</t>
        </is>
      </c>
      <c r="D11" t="inlineStr">
        <is>
          <t>全阶段</t>
        </is>
      </c>
    </row>
    <row r="12">
      <c r="C12" t="inlineStr">
        <is>
          <t>预备金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2026-06-20T06:42:09Z</dcterms:created>
  <dcterms:modified xsi:type="dcterms:W3CDTF">2026-06-20T07:21:13Z</dcterms:modified>
</cp:coreProperties>
</file>